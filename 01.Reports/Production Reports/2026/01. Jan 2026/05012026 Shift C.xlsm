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drawings/drawing6.xml" ContentType="application/vnd.openxmlformats-officedocument.drawing+xml"/>
  <Override PartName="/xl/comments1.xml" ContentType="application/vnd.openxmlformats-officedocument.spreadsheetml.comments+xml"/>
  <Override PartName="/xl/tables/table106.xml" ContentType="application/vnd.openxmlformats-officedocument.spreadsheetml.table+xml"/>
  <Override PartName="/xl/tables/table107.xml" ContentType="application/vnd.openxmlformats-officedocument.spreadsheetml.table+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fileSharing readOnlyRecommended="1"/>
  <workbookPr codeName="ThisWorkbook"/>
  <mc:AlternateContent xmlns:mc="http://schemas.openxmlformats.org/markup-compatibility/2006">
    <mc:Choice Requires="x15">
      <x15ac:absPath xmlns:x15ac="http://schemas.microsoft.com/office/spreadsheetml/2010/11/ac" url="C:\Users\amcys\Documents\02.Education\01.Online Education\05.projects\data-warehousing\01. Reports\Production Reports\2026\01. Jan 2026\"/>
    </mc:Choice>
  </mc:AlternateContent>
  <xr:revisionPtr revIDLastSave="0" documentId="13_ncr:1_{1FA6D700-6800-4022-9E60-F10EA629B81F}" xr6:coauthVersionLast="47" xr6:coauthVersionMax="47" xr10:uidLastSave="{00000000-0000-0000-0000-000000000000}"/>
  <workbookProtection workbookAlgorithmName="SHA-512" workbookHashValue="K1kL97Gym8+kJreCD0MlvliJBfU9EvcK8n49jRKEoBEh1BgXDaNXA1DoKQB6hce3QeKvr4/bOjLDeUFcm5sqyw==" workbookSaltValue="CSSY0fRyp/dd5pGk+uN++Q==" workbookSpinCount="100000" lockStructure="1"/>
  <bookViews>
    <workbookView xWindow="-98" yWindow="-98" windowWidth="21795" windowHeight="12975" tabRatio="599" xr2:uid="{D8341820-9227-4D4E-B282-30FBAF315BEF}"/>
  </bookViews>
  <sheets>
    <sheet name="Block Screen" sheetId="30" r:id="rId1"/>
    <sheet name="Add Report" sheetId="1" state="hidden" r:id="rId2"/>
    <sheet name="Ship 1" sheetId="6" state="hidden" r:id="rId3"/>
    <sheet name="Ship 2" sheetId="5" state="hidden" r:id="rId4"/>
    <sheet name="Ship 3" sheetId="31" state="hidden" r:id="rId5"/>
    <sheet name="Correlations Tables" sheetId="8" state="hidden" r:id="rId6"/>
    <sheet name="Report Data" sheetId="29" state="hidden" r:id="rId7"/>
    <sheet name="Report Layout 1 (WEL)" sheetId="10" state="hidden" r:id="rId8"/>
    <sheet name="Dataset" sheetId="33" state="hidden" r:id="rId9"/>
    <sheet name="CTRL MERCEDEZ GLE 580 REAR BUMP" sheetId="32" state="hidden" r:id="rId10"/>
  </sheets>
  <definedNames>
    <definedName name="_xlnm._FilterDatabase" localSheetId="5" hidden="1">'Correlations Tables'!#REF!</definedName>
    <definedName name="_xlpm.availability" hidden="1" xlm="1">#NAME?</definedName>
    <definedName name="_xlpm.break_downtime" hidden="1" xlm="1">#NAME?</definedName>
    <definedName name="_xlpm.check" hidden="1" xlm="1">#NAME?</definedName>
    <definedName name="_xlpm.downtime_breaks" hidden="1" xlm="1">#NAME?</definedName>
    <definedName name="_xlpm.downtime_no_production" hidden="1" xlm="1">#NAME?</definedName>
    <definedName name="_xlpm.efficiency" hidden="1" xlm="1">#NAME?</definedName>
    <definedName name="_xlpm.efficiency_formula" hidden="1" xlm="1">#NAME?</definedName>
    <definedName name="_xlpm.formula_oee" hidden="1" xlm="1">#NAME?</definedName>
    <definedName name="_xlpm.ideal_time" hidden="1" xlm="1">#NAME?</definedName>
    <definedName name="_xlpm.line_list" hidden="1" xlm="1">#NAME?</definedName>
    <definedName name="_xlpm.listagem_versoes" hidden="1" xlm="1">#NAME?</definedName>
    <definedName name="_xlpm.minutes" hidden="1" xlm="1">#NAME?</definedName>
    <definedName name="_xlpm.pausas" hidden="1" xlm="1">#NAME?</definedName>
    <definedName name="_xlpm.peca" hidden="1" xlm="1">#NAME?</definedName>
    <definedName name="_xlpm.peca_sem_linha" hidden="1" xlm="1">#NAME?</definedName>
    <definedName name="_xlpm.performance" hidden="1" xlm="1">#NAME?</definedName>
    <definedName name="_xlpm.planned_downtime" hidden="1" xlm="1">#NAME?</definedName>
    <definedName name="_xlpm.planned_operating_time" hidden="1" xlm="1">#NAME?</definedName>
    <definedName name="_xlpm.procura_peca" hidden="1" xlm="1">#NAME?</definedName>
    <definedName name="_xlpm.product" hidden="1" xlm="1">#NAME?</definedName>
    <definedName name="_xlpm.productivity" hidden="1" xlm="1">#NAME?</definedName>
    <definedName name="_xlpm.quality" hidden="1" xlm="1">#NAME?</definedName>
    <definedName name="_xlpm.range" hidden="1" xlm="1">#NAME?</definedName>
    <definedName name="_xlpm.result" hidden="1" xlm="1">#NAME?</definedName>
    <definedName name="_xlpm.shift_time" hidden="1" xlm="1">#NAME?</definedName>
    <definedName name="_xlpm.time_diff" hidden="1" xlm="1">#NAME?</definedName>
    <definedName name="_xlpm.total_downtime" hidden="1" xlm="1">#NAME?</definedName>
    <definedName name="as">'Report Data'!$BP$18</definedName>
    <definedName name="bmw_m550i_xdrive_rear_bumper_line_3_b_cycle_time">'Report Data'!$EZ$23</definedName>
    <definedName name="breakdown_dropdown" localSheetId="9">breakdown_analysis[breakdown_analysis]</definedName>
    <definedName name="breakdown_dropdown">breakdown_analysis[breakdown_analysis]</definedName>
    <definedName name="codigos_falha" localSheetId="4">breakdown_analysis[breakdown_analysis]</definedName>
    <definedName name="cycle_time_welding" localSheetId="9">'CTRL MERCEDEZ GLE 580 REAR BUMP'!$W$111</definedName>
    <definedName name="cycle_time_welding">'Report Layout 1 (WEL)'!$W$111</definedName>
    <definedName name="efficiency" localSheetId="9">'CTRL MERCEDEZ GLE 580 REAR BUMP'!$W$108</definedName>
    <definedName name="efficiency">'Report Layout 1 (WEL)'!$W$108</definedName>
    <definedName name="Equipa_1" localSheetId="4">#REF!</definedName>
    <definedName name="equipa1" localSheetId="4">#REF!</definedName>
    <definedName name="equipa2" localSheetId="4">#REF!</definedName>
    <definedName name="Handling_FB_L3" localSheetId="4">AS_120[AS_120]</definedName>
    <definedName name="Handling_RB_L1" localSheetId="4">US_750[US_750]</definedName>
    <definedName name="Handling_RB_L3" localSheetId="4">RK_150[RK_150]</definedName>
    <definedName name="linhas_386" localSheetId="5">_xlfn.ANCHORARRAY('Correlations Tables'!XEX1048565)</definedName>
    <definedName name="mercedez_gle_53_rear_bumper_line_1_a_cycle_time">'Report Data'!$DL$18</definedName>
    <definedName name="mercedez_gle_580_rear_bumper_line_1_a_cycle_time">'Report Data'!$DT$18</definedName>
    <definedName name="mercedez_gle_580_rear_bumper_line_1_cycle_time">'Report Data'!$DT$18</definedName>
    <definedName name="nok_parts" localSheetId="9">'CTRL MERCEDEZ GLE 580 REAR BUMP'!$Q$99</definedName>
    <definedName name="nok_parts">'Report Layout 1 (WEL)'!$Q$99</definedName>
    <definedName name="nome_kpis_sol1" localSheetId="9">'CTRL MERCEDEZ GLE 580 REAR BUMP'!$Q$114</definedName>
    <definedName name="nome_kpis_sol1">'Report Layout 1 (WEL)'!$Q$114</definedName>
    <definedName name="number_workers" localSheetId="9">'CTRL MERCEDEZ GLE 580 REAR BUMP'!$Q$102</definedName>
    <definedName name="number_workers">'Report Layout 1 (WEL)'!$Q$102</definedName>
    <definedName name="OP_10_428_L1" localSheetId="4">LS_A10[LS_A10]</definedName>
    <definedName name="OP_10_FB_L3" localSheetId="4">WA_110[WA_110]</definedName>
    <definedName name="OP_10_IP_L1" localSheetId="4">GE_830[GE_830]</definedName>
    <definedName name="OP_10_PB_L1" localSheetId="4">GE_530[GE_530]</definedName>
    <definedName name="OP_10_RB_L1" localSheetId="4">LS_810[LS_810]</definedName>
    <definedName name="OP_10_RB_L3" localSheetId="4">VT_140[VT_140]</definedName>
    <definedName name="OP_100_IP_L2" localSheetId="4">AS_220[AS_220]</definedName>
    <definedName name="OP_11_PB_L1" localSheetId="4">RK_450[RK_450]</definedName>
    <definedName name="OP_110_135_140_IP_L2" localSheetId="4">FT_230[FT_230]</definedName>
    <definedName name="OP_110_IP_L2" localSheetId="4">VT_240[VT_240]</definedName>
    <definedName name="OP_110_PB_L2" localSheetId="4">LS_610[LS_610]</definedName>
    <definedName name="OP_120_PB_L2" localSheetId="4">RW_620[RW_620]</definedName>
    <definedName name="OP_135_IP_L2" localSheetId="4">FT_230[FT_230]</definedName>
    <definedName name="OP_145_IP_L2" localSheetId="4">WA_310[WA_310]</definedName>
    <definedName name="OP_15_428_L1" localSheetId="4">RW_A20[RW_A20]</definedName>
    <definedName name="OP_150_155_IP_L2" localSheetId="4">VT_240[VT_240]</definedName>
    <definedName name="OP_150_PB_L2" localSheetId="4">MW_630[MW_630]</definedName>
    <definedName name="OP_160_165_IP_L2" localSheetId="4">RK_250[RK_250]</definedName>
    <definedName name="OP_20_428_L1" localSheetId="4">MW_A30[MW_A30]</definedName>
    <definedName name="OP_20_FB_L1" localSheetId="4">GE_730[GE_730]</definedName>
    <definedName name="OP_20_FB_L2" localSheetId="4">WA_410[WA_410]</definedName>
    <definedName name="OP_20_IP_L1" localSheetId="4">QC_840[QC_840]</definedName>
    <definedName name="OP_200_IP_L2" localSheetId="4">FT_330[FT_330]</definedName>
    <definedName name="OP_25_IP_L1" localSheetId="4">US_850[US_850]</definedName>
    <definedName name="OP_30_40_FB_L1" localSheetId="4">RW_720[RW_720]</definedName>
    <definedName name="OP_30_40_FB_L2" localSheetId="4">AS_420[AS_420]</definedName>
    <definedName name="OP_30_FB_L1" localSheetId="4">LS_710[LS_710]</definedName>
    <definedName name="OP_30_FB_L2" localSheetId="4">AS_420[AS_420]</definedName>
    <definedName name="OP_30_IP_L1" localSheetId="4">LS_910[LS_910]</definedName>
    <definedName name="OP_30_PB_L1" localSheetId="4">QC_540[QC_540]</definedName>
    <definedName name="OP_31_PB_L1" localSheetId="4">LS_510[LS_510]</definedName>
    <definedName name="OP_40_FB_L1" localSheetId="4">RW_720[RW_720]</definedName>
    <definedName name="OP_40_FB_L2" localSheetId="4">FT_430[FT_430]</definedName>
    <definedName name="OP_40_IP_L1" localSheetId="4">LS_910[LS_910]</definedName>
    <definedName name="OP_40_RB_L1" localSheetId="4">US_750[US_750]</definedName>
    <definedName name="OP_50_IP_L1" localSheetId="4">RW_920[RW_920]</definedName>
    <definedName name="OP_50_PB_L1" localSheetId="4">US_550[US_550]</definedName>
    <definedName name="OP_51_PB_L1" localSheetId="4">RW_520[RW_520]</definedName>
    <definedName name="OP_55_IP_L2" localSheetId="4">AS_320[AS_320]</definedName>
    <definedName name="OP_60_IP_L1" localSheetId="4">MW_930[MW_930]</definedName>
    <definedName name="OP_70_FB_L1" localSheetId="4">QC_740[QC_740]</definedName>
    <definedName name="OP_70_FB_L2" localSheetId="4">FT_430[FT_430]</definedName>
    <definedName name="OP40_RB_L1" localSheetId="4">RW_820[RW_820]</definedName>
    <definedName name="planned_downtime" localSheetId="9">'CTRL MERCEDEZ GLE 580 REAR BUMP'!$K$95</definedName>
    <definedName name="planned_downtime">'Report Layout 1 (WEL)'!$K$95</definedName>
    <definedName name="Prensas_428_L1" localSheetId="4">GE_A40[GE_A40]</definedName>
    <definedName name="_xlnm.Print_Area" localSheetId="9">'CTRL MERCEDEZ GLE 580 REAR BUMP'!$B$2:$AT$116</definedName>
    <definedName name="_xlnm.Print_Area" localSheetId="7">'Report Layout 1 (WEL)'!$B$2:$AT$116</definedName>
    <definedName name="Retrabalho_FB_L1" localSheetId="4">QC_740[QC_740]</definedName>
    <definedName name="Retrabalho_FB_L2" localSheetId="4">VT_440[VT_440]</definedName>
    <definedName name="Retrabalho_FB_L3" localSheetId="4">FT_130[FT_130]</definedName>
    <definedName name="Retrabalho_IP_L2" localSheetId="4">RK_250[RK_250]</definedName>
    <definedName name="Retrabalho_RB_L3" localSheetId="4">WA_210[WA_210]</definedName>
    <definedName name="reworked_parts" localSheetId="9">'CTRL MERCEDEZ GLE 580 REAR BUMP'!$W$99</definedName>
    <definedName name="reworked_parts">'Report Layout 1 (WEL)'!$W$99</definedName>
    <definedName name="RH" localSheetId="4">Quality_Hold[Quality_Hold]</definedName>
    <definedName name="Sem_Producao" localSheetId="4">Material_Shortage[Material_Shortage]</definedName>
    <definedName name="shift_a" localSheetId="9">Table219[Shift A]</definedName>
    <definedName name="shift_a">Table219[Shift A]</definedName>
    <definedName name="shift_b">'Correlations Tables'!$J$9</definedName>
    <definedName name="shift_c">'Correlations Tables'!$L$9</definedName>
    <definedName name="shift_d">'Correlations Tables'!$N$8</definedName>
    <definedName name="Soldadura_Resistencia" localSheetId="4">Rework_Stoppage[Rework_Stoppage]</definedName>
    <definedName name="Team1">'Report Data'!$D$7:$D$9</definedName>
    <definedName name="Team2">'Report Data'!$R$7:$R$9</definedName>
    <definedName name="testing_chart" localSheetId="9">'CTRL MERCEDEZ GLE 580 REAR BUMP'!$BA$2:$BA$5</definedName>
    <definedName name="testing_chart">'Report Layout 1 (WEL)'!$BA$2:$BA$5</definedName>
    <definedName name="testing_list" localSheetId="9">'CTRL MERCEDEZ GLE 580 REAR BUMP'!$AW$16:$AW$18</definedName>
    <definedName name="testing_list">'Report Layout 1 (WEL)'!$AW$16:$AW$18</definedName>
    <definedName name="total_produced" localSheetId="9">'CTRL MERCEDEZ GLE 580 REAR BUMP'!$G$93</definedName>
    <definedName name="total_produced">'Report Layout 1 (WEL)'!$G$93</definedName>
    <definedName name="total_produzido" localSheetId="9">'CTRL MERCEDEZ GLE 580 REAR BUMP'!$G$93</definedName>
    <definedName name="total_produzido">'Report Layout 1 (WEL)'!$G$93</definedName>
    <definedName name="TPM" localSheetId="4">Planned_Maintenance[Planned_Maintenance]</definedName>
    <definedName name="unplanned_downtime" localSheetId="9">'CTRL MERCEDEZ GLE 580 REAR BUMP'!$I$95</definedName>
    <definedName name="unplanned_downtime">'Report Layout 1 (WEL)'!$I$95</definedName>
    <definedName name="versoes_dropdown" localSheetId="5">_xlfn.LET(     _xlpm.peca,     'Add Report'!$U$29,      _xlpm.range,     _xlfn._xlws.FILTER(           _xlfn.XLOOKUP(_xlpm.peca,_xlfn.ANCHORARRAY( 'Correlations Tables'!AI1048563), 'Correlations Tables'!AI1048564:AQ1048574),           _xlfn.XLOOKUP(_xlpm.peca,_xlfn.ANCHORARRAY( 'Correlations Tables'!AI1048563), 'Correlations Tables'!AI1048564:AQ1048574)&lt;&gt;0      ),      _xlpm.procura_peca,     IFERROR(_xlfn._xlws.FILTER(_xlpm.range, (_xlpm.range&lt;&gt;0)*(_xlpm.range&lt;&gt;"listagem_pecas")), "Erro"),      _xlpm.procura_peca )</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14" i="32" l="1"/>
  <c r="I95" i="32"/>
  <c r="M94" i="32"/>
  <c r="M93" i="32"/>
  <c r="M92" i="32"/>
  <c r="M91" i="32"/>
  <c r="M90" i="32"/>
  <c r="C90" i="32"/>
  <c r="M89" i="32"/>
  <c r="M88" i="32"/>
  <c r="M87" i="32"/>
  <c r="M86" i="32"/>
  <c r="M85" i="32"/>
  <c r="M84" i="32"/>
  <c r="M83" i="32"/>
  <c r="M82" i="32"/>
  <c r="M81" i="32"/>
  <c r="M80" i="32"/>
  <c r="M79" i="32"/>
  <c r="M78" i="32"/>
  <c r="T77" i="32"/>
  <c r="K77" i="32"/>
  <c r="M77" i="32" s="1"/>
  <c r="M76" i="32"/>
  <c r="M75" i="32"/>
  <c r="M74" i="32"/>
  <c r="M73" i="32"/>
  <c r="M72" i="32"/>
  <c r="M71" i="32"/>
  <c r="M70" i="32"/>
  <c r="M69" i="32"/>
  <c r="T68" i="32"/>
  <c r="AW9" i="32" s="1"/>
  <c r="AX9" i="32" s="1"/>
  <c r="K68" i="32"/>
  <c r="M68" i="32" s="1"/>
  <c r="M67" i="32"/>
  <c r="M66" i="32"/>
  <c r="M65" i="32"/>
  <c r="M64" i="32"/>
  <c r="M63" i="32"/>
  <c r="M62" i="32"/>
  <c r="M61" i="32"/>
  <c r="M60" i="32"/>
  <c r="T59" i="32"/>
  <c r="K59" i="32"/>
  <c r="M59" i="32" s="1"/>
  <c r="T58" i="32"/>
  <c r="K58" i="32"/>
  <c r="M58" i="32" s="1"/>
  <c r="M57" i="32"/>
  <c r="M56" i="32"/>
  <c r="M55" i="32"/>
  <c r="M54" i="32"/>
  <c r="M53" i="32"/>
  <c r="M52" i="32"/>
  <c r="M51" i="32"/>
  <c r="M50" i="32"/>
  <c r="M49" i="32"/>
  <c r="M48" i="32"/>
  <c r="M47" i="32"/>
  <c r="M46" i="32"/>
  <c r="M45" i="32"/>
  <c r="M44" i="32"/>
  <c r="M43" i="32"/>
  <c r="M42" i="32"/>
  <c r="M41" i="32"/>
  <c r="M40" i="32"/>
  <c r="M39" i="32"/>
  <c r="M38" i="32"/>
  <c r="M37" i="32"/>
  <c r="M36" i="32"/>
  <c r="M35" i="32"/>
  <c r="M34" i="32"/>
  <c r="M33" i="32"/>
  <c r="T32" i="32"/>
  <c r="AW4" i="32" s="1"/>
  <c r="AX4" i="32" s="1"/>
  <c r="K32" i="32"/>
  <c r="M32" i="32" s="1"/>
  <c r="M31" i="32"/>
  <c r="M30" i="32"/>
  <c r="M29" i="32"/>
  <c r="M28" i="32"/>
  <c r="M27" i="32"/>
  <c r="M26" i="32"/>
  <c r="M25" i="32"/>
  <c r="M24" i="32"/>
  <c r="M23" i="32"/>
  <c r="M22" i="32"/>
  <c r="M21" i="32"/>
  <c r="G21" i="32"/>
  <c r="G30" i="32" s="1"/>
  <c r="G39" i="32" s="1"/>
  <c r="G48" i="32" s="1"/>
  <c r="G57" i="32" s="1"/>
  <c r="G66" i="32" s="1"/>
  <c r="G75" i="32" s="1"/>
  <c r="G84" i="32" s="1"/>
  <c r="G93" i="32" s="1"/>
  <c r="M20" i="32"/>
  <c r="M19" i="32"/>
  <c r="M18" i="32"/>
  <c r="M17" i="32"/>
  <c r="M16" i="32"/>
  <c r="M15" i="32"/>
  <c r="M14" i="32"/>
  <c r="C14" i="32"/>
  <c r="C18" i="32" s="1"/>
  <c r="BP5" i="32"/>
  <c r="Z4" i="32"/>
  <c r="AV2" i="32" a="1"/>
  <c r="Z2" i="32"/>
  <c r="Q114" i="10"/>
  <c r="C14" i="10"/>
  <c r="T77" i="10"/>
  <c r="T32" i="10"/>
  <c r="T68" i="10"/>
  <c r="T58" i="10"/>
  <c r="AV2" i="10" a="1"/>
  <c r="AV2" i="10" s="1"/>
  <c r="BP5" i="10"/>
  <c r="T59" i="10"/>
  <c r="DS16" i="29"/>
  <c r="C18" i="10"/>
  <c r="Q19" i="1" a="1"/>
  <c r="Q19" i="1" s="1"/>
  <c r="EW3" i="29"/>
  <c r="II16" i="29"/>
  <c r="P8" i="8" a="1"/>
  <c r="P8" i="8" s="1"/>
  <c r="VO41" i="29"/>
  <c r="VO36" i="29"/>
  <c r="VO31" i="29"/>
  <c r="VO26" i="29"/>
  <c r="VO21" i="29"/>
  <c r="VO16" i="29"/>
  <c r="VM3" i="29"/>
  <c r="VG41" i="29"/>
  <c r="VG36" i="29"/>
  <c r="VG31" i="29"/>
  <c r="VG26" i="29"/>
  <c r="VG21" i="29"/>
  <c r="VG16" i="29"/>
  <c r="VE3" i="29"/>
  <c r="UY41" i="29"/>
  <c r="UY36" i="29"/>
  <c r="UY31" i="29"/>
  <c r="UY26" i="29"/>
  <c r="UY21" i="29"/>
  <c r="UY16" i="29"/>
  <c r="UW3" i="29"/>
  <c r="UQ41" i="29"/>
  <c r="UQ36" i="29"/>
  <c r="UQ31" i="29"/>
  <c r="UQ26" i="29"/>
  <c r="UQ21" i="29"/>
  <c r="UQ16" i="29"/>
  <c r="UO3" i="29"/>
  <c r="UI41" i="29"/>
  <c r="UI36" i="29"/>
  <c r="UI31" i="29"/>
  <c r="UI26" i="29"/>
  <c r="UI21" i="29"/>
  <c r="UI16" i="29"/>
  <c r="UG3" i="29"/>
  <c r="UA41" i="29"/>
  <c r="UA36" i="29"/>
  <c r="UA31" i="29"/>
  <c r="UA26" i="29"/>
  <c r="UA21" i="29"/>
  <c r="UA16" i="29"/>
  <c r="TY3" i="29"/>
  <c r="TS41" i="29"/>
  <c r="TS36" i="29"/>
  <c r="TS31" i="29"/>
  <c r="TS26" i="29"/>
  <c r="TS21" i="29"/>
  <c r="TS16" i="29"/>
  <c r="TQ3" i="29"/>
  <c r="TK41" i="29"/>
  <c r="TK36" i="29"/>
  <c r="TK31" i="29"/>
  <c r="TK26" i="29"/>
  <c r="TK21" i="29"/>
  <c r="TK16" i="29"/>
  <c r="TI3" i="29"/>
  <c r="TC41" i="29"/>
  <c r="TC36" i="29"/>
  <c r="TC31" i="29"/>
  <c r="TC26" i="29"/>
  <c r="TC21" i="29"/>
  <c r="TC16" i="29"/>
  <c r="TA3" i="29"/>
  <c r="SU41" i="29"/>
  <c r="SU36" i="29"/>
  <c r="SU31" i="29"/>
  <c r="SU26" i="29"/>
  <c r="SU21" i="29"/>
  <c r="SU16" i="29"/>
  <c r="SS3" i="29"/>
  <c r="SM41" i="29"/>
  <c r="SM36" i="29"/>
  <c r="SM31" i="29"/>
  <c r="SM26" i="29"/>
  <c r="SM21" i="29"/>
  <c r="SM16" i="29"/>
  <c r="SK3" i="29"/>
  <c r="SE41" i="29"/>
  <c r="SE36" i="29"/>
  <c r="SE31" i="29"/>
  <c r="SE26" i="29"/>
  <c r="SE21" i="29"/>
  <c r="SE16" i="29"/>
  <c r="SC3" i="29"/>
  <c r="RW41" i="29"/>
  <c r="RW36" i="29"/>
  <c r="RW31" i="29"/>
  <c r="RW26" i="29"/>
  <c r="RW21" i="29"/>
  <c r="RW16" i="29"/>
  <c r="RU3" i="29"/>
  <c r="RO41" i="29"/>
  <c r="RO36" i="29"/>
  <c r="RO31" i="29"/>
  <c r="RO26" i="29"/>
  <c r="RO21" i="29"/>
  <c r="RO16" i="29"/>
  <c r="RM3" i="29"/>
  <c r="RG41" i="29"/>
  <c r="RG36" i="29"/>
  <c r="RG31" i="29"/>
  <c r="RG26" i="29"/>
  <c r="RG21" i="29"/>
  <c r="RG16" i="29"/>
  <c r="RE3" i="29"/>
  <c r="QY41" i="29"/>
  <c r="QY36" i="29"/>
  <c r="QY31" i="29"/>
  <c r="QY26" i="29"/>
  <c r="QY21" i="29"/>
  <c r="QY16" i="29"/>
  <c r="QW3" i="29"/>
  <c r="QQ41" i="29"/>
  <c r="QQ36" i="29"/>
  <c r="QQ31" i="29"/>
  <c r="QQ26" i="29"/>
  <c r="QQ21" i="29"/>
  <c r="QQ16" i="29"/>
  <c r="QO3" i="29"/>
  <c r="QI41" i="29"/>
  <c r="QI36" i="29"/>
  <c r="QI31" i="29"/>
  <c r="QI26" i="29"/>
  <c r="QI21" i="29"/>
  <c r="QI16" i="29"/>
  <c r="QG3" i="29"/>
  <c r="QA41" i="29"/>
  <c r="QA36" i="29"/>
  <c r="QA31" i="29"/>
  <c r="QA26" i="29"/>
  <c r="QA21" i="29"/>
  <c r="QA16" i="29"/>
  <c r="PY3" i="29"/>
  <c r="PS41" i="29"/>
  <c r="PS36" i="29"/>
  <c r="PS31" i="29"/>
  <c r="PS26" i="29"/>
  <c r="PS21" i="29"/>
  <c r="PS16" i="29"/>
  <c r="PQ3" i="29"/>
  <c r="PK41" i="29"/>
  <c r="PK36" i="29"/>
  <c r="PK31" i="29"/>
  <c r="PK26" i="29"/>
  <c r="PK21" i="29"/>
  <c r="PK16" i="29"/>
  <c r="PI3" i="29"/>
  <c r="PC41" i="29"/>
  <c r="PC36" i="29"/>
  <c r="PC31" i="29"/>
  <c r="PC26" i="29"/>
  <c r="PC21" i="29"/>
  <c r="PC16" i="29"/>
  <c r="PA3" i="29"/>
  <c r="OU41" i="29"/>
  <c r="OU36" i="29"/>
  <c r="OU31" i="29"/>
  <c r="OU26" i="29"/>
  <c r="OU21" i="29"/>
  <c r="OU16" i="29"/>
  <c r="OS3" i="29"/>
  <c r="OM41" i="29"/>
  <c r="OM36" i="29"/>
  <c r="OM31" i="29"/>
  <c r="OM26" i="29"/>
  <c r="OM21" i="29"/>
  <c r="OM16" i="29"/>
  <c r="OK3" i="29"/>
  <c r="OE41" i="29"/>
  <c r="OE36" i="29"/>
  <c r="OE31" i="29"/>
  <c r="OE26" i="29"/>
  <c r="OE21" i="29"/>
  <c r="OE16" i="29"/>
  <c r="OC3" i="29"/>
  <c r="NW41" i="29"/>
  <c r="NW36" i="29"/>
  <c r="NW31" i="29"/>
  <c r="NW26" i="29"/>
  <c r="NW21" i="29"/>
  <c r="NW16" i="29"/>
  <c r="NU3" i="29"/>
  <c r="NG41" i="29"/>
  <c r="NG36" i="29"/>
  <c r="NG31" i="29"/>
  <c r="NG26" i="29"/>
  <c r="NG21" i="29"/>
  <c r="NG16" i="29"/>
  <c r="NE3" i="29"/>
  <c r="NO41" i="29"/>
  <c r="NO36" i="29"/>
  <c r="NO31" i="29"/>
  <c r="NO26" i="29"/>
  <c r="NO21" i="29"/>
  <c r="NO16" i="29"/>
  <c r="NM3" i="29"/>
  <c r="MY41" i="29"/>
  <c r="MY36" i="29"/>
  <c r="MY31" i="29"/>
  <c r="MY26" i="29"/>
  <c r="MY21" i="29"/>
  <c r="MY16" i="29"/>
  <c r="MW3" i="29"/>
  <c r="MQ41" i="29"/>
  <c r="MQ36" i="29"/>
  <c r="MQ31" i="29"/>
  <c r="MQ26" i="29"/>
  <c r="MQ21" i="29"/>
  <c r="MQ16" i="29"/>
  <c r="MO3" i="29"/>
  <c r="MI41" i="29"/>
  <c r="MI36" i="29"/>
  <c r="MI31" i="29"/>
  <c r="MI26" i="29"/>
  <c r="MI21" i="29"/>
  <c r="MI16" i="29"/>
  <c r="MG3" i="29"/>
  <c r="MA41" i="29"/>
  <c r="MA36" i="29"/>
  <c r="MA31" i="29"/>
  <c r="MA26" i="29"/>
  <c r="MA21" i="29"/>
  <c r="MA16" i="29"/>
  <c r="LY3" i="29"/>
  <c r="LS41" i="29"/>
  <c r="LS36" i="29"/>
  <c r="LS31" i="29"/>
  <c r="LS26" i="29"/>
  <c r="LS21" i="29"/>
  <c r="LS16" i="29"/>
  <c r="LQ3" i="29"/>
  <c r="LK41" i="29"/>
  <c r="LK36" i="29"/>
  <c r="LK31" i="29"/>
  <c r="LK26" i="29"/>
  <c r="LK21" i="29"/>
  <c r="LK16" i="29"/>
  <c r="LI3" i="29"/>
  <c r="LC41" i="29"/>
  <c r="LC36" i="29"/>
  <c r="LC31" i="29"/>
  <c r="LC26" i="29"/>
  <c r="LC21" i="29"/>
  <c r="LC16" i="29"/>
  <c r="LA3" i="29"/>
  <c r="KU41" i="29"/>
  <c r="KU36" i="29"/>
  <c r="KU31" i="29"/>
  <c r="KU26" i="29"/>
  <c r="KU21" i="29"/>
  <c r="KU16" i="29"/>
  <c r="KS3" i="29"/>
  <c r="KM41" i="29"/>
  <c r="KM36" i="29"/>
  <c r="KM31" i="29"/>
  <c r="KM26" i="29"/>
  <c r="KM21" i="29"/>
  <c r="KM16" i="29"/>
  <c r="KK3" i="29"/>
  <c r="KE41" i="29"/>
  <c r="KE36" i="29"/>
  <c r="KE31" i="29"/>
  <c r="KE26" i="29"/>
  <c r="KE21" i="29"/>
  <c r="KE16" i="29"/>
  <c r="KC3" i="29"/>
  <c r="JW41" i="29"/>
  <c r="JW36" i="29"/>
  <c r="JW31" i="29"/>
  <c r="JW26" i="29"/>
  <c r="JW21" i="29"/>
  <c r="JW16" i="29"/>
  <c r="JU3" i="29"/>
  <c r="JO41" i="29"/>
  <c r="JO36" i="29"/>
  <c r="JO31" i="29"/>
  <c r="JO26" i="29"/>
  <c r="JO21" i="29"/>
  <c r="JO16" i="29"/>
  <c r="JM3" i="29"/>
  <c r="JG41" i="29"/>
  <c r="JG36" i="29"/>
  <c r="JG31" i="29"/>
  <c r="JG26" i="29"/>
  <c r="JG21" i="29"/>
  <c r="JG16" i="29"/>
  <c r="JE3" i="29"/>
  <c r="IY41" i="29"/>
  <c r="IY36" i="29"/>
  <c r="IY31" i="29"/>
  <c r="IY26" i="29"/>
  <c r="IY21" i="29"/>
  <c r="IY16" i="29"/>
  <c r="IW3" i="29"/>
  <c r="IQ41" i="29"/>
  <c r="IQ36" i="29"/>
  <c r="IQ31" i="29"/>
  <c r="IQ26" i="29"/>
  <c r="IQ21" i="29"/>
  <c r="IQ16" i="29"/>
  <c r="IO3" i="29"/>
  <c r="II41" i="29"/>
  <c r="II36" i="29"/>
  <c r="II31" i="29"/>
  <c r="II26" i="29"/>
  <c r="II21" i="29"/>
  <c r="IG3" i="29"/>
  <c r="IA41" i="29"/>
  <c r="IA36" i="29"/>
  <c r="IA31" i="29"/>
  <c r="IA26" i="29"/>
  <c r="IA21" i="29"/>
  <c r="IA16" i="29"/>
  <c r="HY3" i="29"/>
  <c r="HS41" i="29"/>
  <c r="HS36" i="29"/>
  <c r="HS31" i="29"/>
  <c r="HS26" i="29"/>
  <c r="HS21" i="29"/>
  <c r="HS16" i="29"/>
  <c r="HQ3" i="29"/>
  <c r="HK41" i="29"/>
  <c r="HK36" i="29"/>
  <c r="HK31" i="29"/>
  <c r="HK26" i="29"/>
  <c r="HK21" i="29"/>
  <c r="HK16" i="29"/>
  <c r="HI3" i="29"/>
  <c r="HC41" i="29"/>
  <c r="HC36" i="29"/>
  <c r="HC31" i="29"/>
  <c r="HC26" i="29"/>
  <c r="HC21" i="29"/>
  <c r="HC16" i="29"/>
  <c r="HA3" i="29"/>
  <c r="GU41" i="29"/>
  <c r="GU36" i="29"/>
  <c r="GU31" i="29"/>
  <c r="GU26" i="29"/>
  <c r="GU21" i="29"/>
  <c r="GU16" i="29"/>
  <c r="GS3" i="29"/>
  <c r="GM41" i="29"/>
  <c r="GM36" i="29"/>
  <c r="GM31" i="29"/>
  <c r="GM26" i="29"/>
  <c r="GM21" i="29"/>
  <c r="GM16" i="29"/>
  <c r="GK3" i="29"/>
  <c r="GE41" i="29"/>
  <c r="GE36" i="29"/>
  <c r="GE31" i="29"/>
  <c r="GE26" i="29"/>
  <c r="GE21" i="29"/>
  <c r="GE16" i="29"/>
  <c r="GC3" i="29"/>
  <c r="FW41" i="29"/>
  <c r="FW36" i="29"/>
  <c r="FW31" i="29"/>
  <c r="FW26" i="29"/>
  <c r="FW21" i="29"/>
  <c r="FW16" i="29"/>
  <c r="FU3" i="29"/>
  <c r="FO41" i="29"/>
  <c r="FO36" i="29"/>
  <c r="FO31" i="29"/>
  <c r="FO26" i="29"/>
  <c r="FO21" i="29"/>
  <c r="FO16" i="29"/>
  <c r="FM3" i="29"/>
  <c r="FG41" i="29"/>
  <c r="FG36" i="29"/>
  <c r="FG31" i="29"/>
  <c r="FG26" i="29"/>
  <c r="FG21" i="29"/>
  <c r="FG16" i="29"/>
  <c r="FE3" i="29"/>
  <c r="EY41" i="29"/>
  <c r="EY36" i="29"/>
  <c r="EY31" i="29"/>
  <c r="EY26" i="29"/>
  <c r="EY21" i="29"/>
  <c r="EY16" i="29"/>
  <c r="EQ41" i="29"/>
  <c r="EQ36" i="29"/>
  <c r="EQ31" i="29"/>
  <c r="EQ26" i="29"/>
  <c r="EQ21" i="29"/>
  <c r="EQ16" i="29"/>
  <c r="EO3" i="29"/>
  <c r="EI41" i="29"/>
  <c r="EI36" i="29"/>
  <c r="EI31" i="29"/>
  <c r="EI26" i="29"/>
  <c r="EI21" i="29"/>
  <c r="EI16" i="29"/>
  <c r="EG3" i="29"/>
  <c r="EA41" i="29"/>
  <c r="EA36" i="29"/>
  <c r="EA31" i="29"/>
  <c r="EA26" i="29"/>
  <c r="EA21" i="29"/>
  <c r="EA16" i="29"/>
  <c r="DY3" i="29"/>
  <c r="DS41" i="29"/>
  <c r="DS36" i="29"/>
  <c r="DS31" i="29"/>
  <c r="DS26" i="29"/>
  <c r="DS21" i="29"/>
  <c r="DQ3" i="29"/>
  <c r="DK41" i="29"/>
  <c r="DK36" i="29"/>
  <c r="DK31" i="29"/>
  <c r="DK26" i="29"/>
  <c r="DK21" i="29"/>
  <c r="DK16" i="29"/>
  <c r="DI3" i="29"/>
  <c r="DC41" i="29"/>
  <c r="DC36" i="29"/>
  <c r="DC31" i="29"/>
  <c r="DC26" i="29"/>
  <c r="DC21" i="29"/>
  <c r="DC16" i="29"/>
  <c r="DA3" i="29"/>
  <c r="CU41" i="29"/>
  <c r="CU36" i="29"/>
  <c r="CU31" i="29"/>
  <c r="CU26" i="29"/>
  <c r="CU21" i="29"/>
  <c r="CU16" i="29"/>
  <c r="CS3" i="29"/>
  <c r="CM41" i="29"/>
  <c r="CM36" i="29"/>
  <c r="CM31" i="29"/>
  <c r="CM26" i="29"/>
  <c r="CM21" i="29"/>
  <c r="CM16" i="29"/>
  <c r="CK3" i="29"/>
  <c r="CE26" i="29"/>
  <c r="CE21" i="29"/>
  <c r="CE16" i="29"/>
  <c r="CC3" i="29"/>
  <c r="BU3" i="29"/>
  <c r="BW41" i="29"/>
  <c r="BW36" i="29"/>
  <c r="BW31" i="29"/>
  <c r="BW26" i="29"/>
  <c r="BW21" i="29"/>
  <c r="BW16" i="29"/>
  <c r="BO41" i="29"/>
  <c r="BO36" i="29"/>
  <c r="BO31" i="29"/>
  <c r="BO26" i="29"/>
  <c r="BO21" i="29"/>
  <c r="BO16" i="29"/>
  <c r="CR18" i="8" a="1"/>
  <c r="CR18" i="8" s="1"/>
  <c r="Q19" i="8" a="1"/>
  <c r="Q19" i="8" s="1"/>
  <c r="Q7" i="8" a="1"/>
  <c r="Q7" i="8" s="1"/>
  <c r="CR6" i="8" a="1"/>
  <c r="CR6" i="8" s="1"/>
  <c r="P20" i="8" a="1"/>
  <c r="P20" i="8" s="1"/>
  <c r="C90" i="10"/>
  <c r="EP19" i="8" a="1"/>
  <c r="W111" i="10" a="1"/>
  <c r="EP7" i="8" a="1"/>
  <c r="DB19" i="8" a="1"/>
  <c r="DJ19" i="8" a="1"/>
  <c r="DR7" i="8" a="1"/>
  <c r="EH19" i="8" a="1"/>
  <c r="DC19" i="8" a="1"/>
  <c r="DF7" i="8" a="1"/>
  <c r="EB7" i="8" a="1"/>
  <c r="CX7" i="8" a="1"/>
  <c r="DD19" i="8" a="1"/>
  <c r="DC7" i="8" a="1"/>
  <c r="EH7" i="8" a="1"/>
  <c r="EF7" i="8" a="1"/>
  <c r="DP7" i="8" a="1"/>
  <c r="ED7" i="8" a="1"/>
  <c r="CR7" i="8" a="1"/>
  <c r="CV7" i="8" a="1"/>
  <c r="DO7" i="8" a="1"/>
  <c r="DM7" i="8" a="1"/>
  <c r="EE7" i="8" a="1"/>
  <c r="DQ7" i="8" a="1"/>
  <c r="DR19" i="8" a="1"/>
  <c r="DE19" i="8" a="1"/>
  <c r="EC19" i="8" a="1"/>
  <c r="CT7" i="8" a="1"/>
  <c r="ES19" i="8" a="1"/>
  <c r="DZ19" i="8" a="1"/>
  <c r="DM19" i="8" a="1"/>
  <c r="EA7" i="8" a="1"/>
  <c r="DJ7" i="8" a="1"/>
  <c r="DQ19" i="8" a="1"/>
  <c r="DE7" i="8" a="1"/>
  <c r="ED19" i="8" a="1"/>
  <c r="EQ19" i="8" a="1"/>
  <c r="EG7" i="8" a="1"/>
  <c r="EE19" i="8" a="1"/>
  <c r="DO19" i="8" a="1"/>
  <c r="DZ7" i="8" a="1"/>
  <c r="W111" i="32" a="1"/>
  <c r="CS7" i="8" a="1"/>
  <c r="DI19" i="8" a="1"/>
  <c r="DF19" i="8" a="1"/>
  <c r="DD7" i="8" a="1"/>
  <c r="EG19" i="8" a="1"/>
  <c r="CR19" i="8" a="1"/>
  <c r="EK7" i="8" a="1"/>
  <c r="DT7" i="8" a="1"/>
  <c r="DU7" i="8" a="1"/>
  <c r="EN7" i="8" a="1"/>
  <c r="DK19" i="8" a="1"/>
  <c r="EI7" i="8" a="1"/>
  <c r="EC7" i="8" a="1"/>
  <c r="DL7" i="8" a="1"/>
  <c r="DG7" i="8" a="1"/>
  <c r="EL19" i="8" a="1"/>
  <c r="ER19" i="8" a="1"/>
  <c r="DN19" i="8" a="1"/>
  <c r="EM7" i="8" a="1"/>
  <c r="CU7" i="8" a="1"/>
  <c r="DL19" i="8" a="1"/>
  <c r="DW19" i="8" a="1"/>
  <c r="DI7" i="8" a="1"/>
  <c r="DY19" i="8" a="1"/>
  <c r="DK7" i="8" a="1"/>
  <c r="EJ19" i="8" a="1"/>
  <c r="DX19" i="8" a="1"/>
  <c r="DA7" i="8" a="1"/>
  <c r="DW7" i="8" a="1"/>
  <c r="CW7" i="8" a="1"/>
  <c r="EB19" i="8" a="1"/>
  <c r="EJ7" i="8" a="1"/>
  <c r="ER7" i="8" a="1"/>
  <c r="CW19" i="8" a="1"/>
  <c r="EO19" i="8" a="1"/>
  <c r="T15" i="1"/>
  <c r="DU19" i="8" a="1"/>
  <c r="ES7" i="8" a="1"/>
  <c r="CX19" i="8" a="1"/>
  <c r="DV19" i="8" a="1"/>
  <c r="EA19" i="8" a="1"/>
  <c r="EN19" i="8" a="1"/>
  <c r="DV7" i="8" a="1"/>
  <c r="DH7" i="8" a="1"/>
  <c r="CY7" i="8" a="1"/>
  <c r="EL7" i="8" a="1"/>
  <c r="AI7" i="1" a="1"/>
  <c r="CU19" i="8" a="1"/>
  <c r="DS19" i="8" a="1"/>
  <c r="DX7" i="8" a="1"/>
  <c r="CY19" i="8" a="1"/>
  <c r="CV19" i="8" a="1"/>
  <c r="CT19" i="8" a="1"/>
  <c r="EO7" i="8" a="1"/>
  <c r="CS19" i="8" a="1"/>
  <c r="DN7" i="8" a="1"/>
  <c r="DT19" i="8" a="1"/>
  <c r="DG19" i="8" a="1"/>
  <c r="CZ7" i="8" a="1"/>
  <c r="DB7" i="8" a="1"/>
  <c r="DA19" i="8" a="1"/>
  <c r="EK19" i="8" a="1"/>
  <c r="DH19" i="8" a="1"/>
  <c r="EF19" i="8" a="1"/>
  <c r="EQ7" i="8" a="1"/>
  <c r="DP19" i="8" a="1"/>
  <c r="DS7" i="8" a="1"/>
  <c r="CZ19" i="8" a="1"/>
  <c r="EI19" i="8" a="1"/>
  <c r="DY7" i="8" a="1"/>
  <c r="EM19" i="8" a="1"/>
  <c r="AW10" i="32" l="1"/>
  <c r="AX10" i="32" s="1"/>
  <c r="AW15" i="32"/>
  <c r="AX15" i="32" s="1"/>
  <c r="W108" i="32"/>
  <c r="E7" i="32" s="1"/>
  <c r="AW20" i="32"/>
  <c r="AX20" i="32" s="1"/>
  <c r="AW12" i="32"/>
  <c r="AX12" i="32" s="1"/>
  <c r="W111" i="32"/>
  <c r="E14" i="32" s="1"/>
  <c r="E21" i="32" s="1"/>
  <c r="Q111" i="32"/>
  <c r="Q108" i="32"/>
  <c r="Q105" i="32"/>
  <c r="AW17" i="32"/>
  <c r="AX17" i="32" s="1"/>
  <c r="K95" i="32"/>
  <c r="AW11" i="32"/>
  <c r="AX11" i="32" s="1"/>
  <c r="AW5" i="32"/>
  <c r="AX5" i="32" s="1"/>
  <c r="AV2" i="32"/>
  <c r="AW22" i="32"/>
  <c r="AX22" i="32" s="1"/>
  <c r="AW6" i="32"/>
  <c r="AX6" i="32" s="1"/>
  <c r="AW13" i="32"/>
  <c r="AX13" i="32" s="1"/>
  <c r="AW18" i="32"/>
  <c r="AX18" i="32" s="1"/>
  <c r="C23" i="32"/>
  <c r="C27" i="32" s="1"/>
  <c r="AW21" i="32"/>
  <c r="AX21" i="32" s="1"/>
  <c r="AW7" i="32"/>
  <c r="AX7" i="32" s="1"/>
  <c r="AW14" i="32"/>
  <c r="AX14" i="32" s="1"/>
  <c r="AW19" i="32"/>
  <c r="AX19" i="32" s="1"/>
  <c r="AW3" i="32"/>
  <c r="AX3" i="32" s="1"/>
  <c r="AW8" i="32"/>
  <c r="AX8" i="32" s="1"/>
  <c r="AW16" i="32"/>
  <c r="AX16" i="32" s="1"/>
  <c r="W111" i="10"/>
  <c r="AW2" i="10"/>
  <c r="AX2" i="10" s="1"/>
  <c r="AW17" i="10"/>
  <c r="AX17" i="10" s="1"/>
  <c r="AW15" i="10"/>
  <c r="AX15" i="10" s="1"/>
  <c r="AW14" i="10"/>
  <c r="AX14" i="10" s="1"/>
  <c r="AW18" i="10"/>
  <c r="AX18" i="10" s="1"/>
  <c r="AW16" i="10"/>
  <c r="AX16" i="10" s="1"/>
  <c r="AW13" i="10"/>
  <c r="AX13" i="10" s="1"/>
  <c r="AW12" i="10"/>
  <c r="AX12" i="10" s="1"/>
  <c r="AW11" i="10"/>
  <c r="AX11" i="10" s="1"/>
  <c r="AW10" i="10"/>
  <c r="AX10" i="10" s="1"/>
  <c r="AW9" i="10"/>
  <c r="AX9" i="10" s="1"/>
  <c r="AW7" i="10"/>
  <c r="AX7" i="10" s="1"/>
  <c r="AW21" i="10"/>
  <c r="AX21" i="10" s="1"/>
  <c r="AW5" i="10"/>
  <c r="AW6" i="10"/>
  <c r="AX6" i="10" s="1"/>
  <c r="AW20" i="10"/>
  <c r="AX20" i="10" s="1"/>
  <c r="AW4" i="10"/>
  <c r="AX4" i="10" s="1"/>
  <c r="AW8" i="10"/>
  <c r="AX8" i="10" s="1"/>
  <c r="AW19" i="10"/>
  <c r="AX19" i="10" s="1"/>
  <c r="AW3" i="10"/>
  <c r="AX3" i="10" s="1"/>
  <c r="AI7" i="1"/>
  <c r="V26" i="1" s="1"/>
  <c r="DI33" i="8"/>
  <c r="DJ31" i="8"/>
  <c r="CR29" i="8"/>
  <c r="C23" i="10"/>
  <c r="C27" i="10" s="1"/>
  <c r="DC33" i="8"/>
  <c r="EB32" i="8"/>
  <c r="DL14" i="8"/>
  <c r="EC32" i="8"/>
  <c r="DK14" i="8"/>
  <c r="DJ14" i="8"/>
  <c r="EA32" i="8"/>
  <c r="DI14" i="8"/>
  <c r="DZ32" i="8"/>
  <c r="DH14" i="8"/>
  <c r="DU32" i="8"/>
  <c r="DG14" i="8"/>
  <c r="DI32" i="8"/>
  <c r="EE33" i="8"/>
  <c r="DF32" i="8"/>
  <c r="DI31" i="8"/>
  <c r="DC32" i="8"/>
  <c r="EC33" i="8"/>
  <c r="CW32" i="8"/>
  <c r="EA33" i="8"/>
  <c r="DQ31" i="8"/>
  <c r="EB33" i="8"/>
  <c r="DK33" i="8"/>
  <c r="DP31" i="8"/>
  <c r="DF33" i="8"/>
  <c r="ED33" i="8"/>
  <c r="CZ32" i="8"/>
  <c r="DJ33" i="8"/>
  <c r="DO31" i="8"/>
  <c r="CR19" i="8"/>
  <c r="CR28" i="8" s="1"/>
  <c r="DZ33" i="8"/>
  <c r="CZ33" i="8"/>
  <c r="DT32" i="8"/>
  <c r="CT32" i="8"/>
  <c r="DF31" i="8"/>
  <c r="DF14" i="8"/>
  <c r="DU33" i="8"/>
  <c r="CW33" i="8"/>
  <c r="DS32" i="8"/>
  <c r="ES31" i="8"/>
  <c r="DC31" i="8"/>
  <c r="ES33" i="8"/>
  <c r="DT33" i="8"/>
  <c r="CT33" i="8"/>
  <c r="DR32" i="8"/>
  <c r="ER31" i="8"/>
  <c r="CZ31" i="8"/>
  <c r="ER33" i="8"/>
  <c r="DS33" i="8"/>
  <c r="ES32" i="8"/>
  <c r="DQ32" i="8"/>
  <c r="EO31" i="8"/>
  <c r="CW31" i="8"/>
  <c r="EN14" i="8"/>
  <c r="EQ33" i="8"/>
  <c r="DR33" i="8"/>
  <c r="ER32" i="8"/>
  <c r="DP32" i="8"/>
  <c r="EN31" i="8"/>
  <c r="CT31" i="8"/>
  <c r="EM14" i="8"/>
  <c r="EP33" i="8"/>
  <c r="DQ33" i="8"/>
  <c r="EO32" i="8"/>
  <c r="DO32" i="8"/>
  <c r="EG31" i="8"/>
  <c r="EC30" i="8"/>
  <c r="EL14" i="8"/>
  <c r="EO33" i="8"/>
  <c r="DP33" i="8"/>
  <c r="EN32" i="8"/>
  <c r="DN32" i="8"/>
  <c r="EF31" i="8"/>
  <c r="EB30" i="8"/>
  <c r="EK14" i="8"/>
  <c r="EN33" i="8"/>
  <c r="DO33" i="8"/>
  <c r="EG32" i="8"/>
  <c r="DM32" i="8"/>
  <c r="EC31" i="8"/>
  <c r="DQ30" i="8"/>
  <c r="EJ14" i="8"/>
  <c r="EM33" i="8"/>
  <c r="DN33" i="8"/>
  <c r="EF32" i="8"/>
  <c r="DL32" i="8"/>
  <c r="EB31" i="8"/>
  <c r="DP30" i="8"/>
  <c r="EI14" i="8"/>
  <c r="EG33" i="8"/>
  <c r="DM33" i="8"/>
  <c r="EE32" i="8"/>
  <c r="DK32" i="8"/>
  <c r="DU31" i="8"/>
  <c r="DJ30" i="8"/>
  <c r="EH14" i="8"/>
  <c r="EF33" i="8"/>
  <c r="DL33" i="8"/>
  <c r="ED32" i="8"/>
  <c r="DJ32" i="8"/>
  <c r="DT31" i="8"/>
  <c r="ES29" i="8"/>
  <c r="ES30" i="8"/>
  <c r="ER30" i="8"/>
  <c r="ER29" i="8"/>
  <c r="EQ29" i="8"/>
  <c r="EQ32" i="8"/>
  <c r="EQ30" i="8"/>
  <c r="EQ31" i="8"/>
  <c r="EP32" i="8"/>
  <c r="EP31" i="8"/>
  <c r="EP30" i="8"/>
  <c r="EP29" i="8"/>
  <c r="EO29" i="8"/>
  <c r="EO30" i="8"/>
  <c r="EN30" i="8"/>
  <c r="EN29" i="8"/>
  <c r="EM29" i="8"/>
  <c r="EM32" i="8"/>
  <c r="EM30" i="8"/>
  <c r="EM31" i="8"/>
  <c r="EL29" i="8"/>
  <c r="EL32" i="8"/>
  <c r="EL33" i="8"/>
  <c r="EL31" i="8"/>
  <c r="EL30" i="8"/>
  <c r="EK29" i="8"/>
  <c r="EK32" i="8"/>
  <c r="EK30" i="8"/>
  <c r="EK31" i="8"/>
  <c r="EK33" i="8"/>
  <c r="EJ29" i="8"/>
  <c r="EJ33" i="8"/>
  <c r="EJ31" i="8"/>
  <c r="EJ32" i="8"/>
  <c r="EJ30" i="8"/>
  <c r="EI33" i="8"/>
  <c r="EI32" i="8"/>
  <c r="EI31" i="8"/>
  <c r="EI30" i="8"/>
  <c r="EI29" i="8"/>
  <c r="EH33" i="8"/>
  <c r="EH32" i="8"/>
  <c r="EH31" i="8"/>
  <c r="EH30" i="8"/>
  <c r="EH29" i="8"/>
  <c r="EG30" i="8"/>
  <c r="EG29" i="8"/>
  <c r="EF30" i="8"/>
  <c r="EF29" i="8"/>
  <c r="EE31" i="8"/>
  <c r="EE30" i="8"/>
  <c r="EE29" i="8"/>
  <c r="ED31" i="8"/>
  <c r="ED30" i="8"/>
  <c r="ED29" i="8"/>
  <c r="EC29" i="8"/>
  <c r="EB29" i="8"/>
  <c r="EA31" i="8"/>
  <c r="EA30" i="8"/>
  <c r="EA29" i="8"/>
  <c r="DZ31" i="8"/>
  <c r="DZ30" i="8"/>
  <c r="DZ29" i="8"/>
  <c r="DY33" i="8"/>
  <c r="DY32" i="8"/>
  <c r="DY31" i="8"/>
  <c r="DY30" i="8"/>
  <c r="DY29" i="8"/>
  <c r="DX33" i="8"/>
  <c r="DX32" i="8"/>
  <c r="DX31" i="8"/>
  <c r="DX30" i="8"/>
  <c r="DX29" i="8"/>
  <c r="DW33" i="8"/>
  <c r="DW32" i="8"/>
  <c r="DW31" i="8"/>
  <c r="DW30" i="8"/>
  <c r="DW29" i="8"/>
  <c r="DV33" i="8"/>
  <c r="DV32" i="8"/>
  <c r="DV31" i="8"/>
  <c r="DV30" i="8"/>
  <c r="DV29" i="8"/>
  <c r="DU30" i="8"/>
  <c r="DU29" i="8"/>
  <c r="DT30" i="8"/>
  <c r="DT29" i="8"/>
  <c r="DS31" i="8"/>
  <c r="DS30" i="8"/>
  <c r="DS29" i="8"/>
  <c r="DR31" i="8"/>
  <c r="DR30" i="8"/>
  <c r="DR29" i="8"/>
  <c r="DQ29" i="8"/>
  <c r="DP29" i="8"/>
  <c r="DO29" i="8"/>
  <c r="DO30" i="8"/>
  <c r="DN29" i="8"/>
  <c r="DN30" i="8"/>
  <c r="DN31" i="8"/>
  <c r="DM31" i="8"/>
  <c r="DL31" i="8"/>
  <c r="DM29" i="8"/>
  <c r="DM30" i="8"/>
  <c r="DL30" i="8"/>
  <c r="DL29" i="8"/>
  <c r="DJ29" i="8"/>
  <c r="DK30" i="8"/>
  <c r="DK31" i="8"/>
  <c r="DK29" i="8"/>
  <c r="DH32" i="8"/>
  <c r="DH29" i="8"/>
  <c r="DH31" i="8"/>
  <c r="DH30" i="8"/>
  <c r="DH33" i="8"/>
  <c r="DG29" i="8"/>
  <c r="DG31" i="8"/>
  <c r="DG30" i="8"/>
  <c r="DG33" i="8"/>
  <c r="DG32" i="8"/>
  <c r="DI29" i="8"/>
  <c r="DI30" i="8"/>
  <c r="DD29" i="8"/>
  <c r="DD30" i="8"/>
  <c r="DD33" i="8"/>
  <c r="DD32" i="8"/>
  <c r="DD31" i="8"/>
  <c r="DF29" i="8"/>
  <c r="DF30" i="8"/>
  <c r="DE29" i="8"/>
  <c r="DE33" i="8"/>
  <c r="DE31" i="8"/>
  <c r="DE32" i="8"/>
  <c r="DE30" i="8"/>
  <c r="DA29" i="8"/>
  <c r="DA30" i="8"/>
  <c r="DA31" i="8"/>
  <c r="DA32" i="8"/>
  <c r="DA33" i="8"/>
  <c r="DB29" i="8"/>
  <c r="DB30" i="8"/>
  <c r="DB31" i="8"/>
  <c r="DB32" i="8"/>
  <c r="DB33" i="8"/>
  <c r="DC29" i="8"/>
  <c r="DC30" i="8"/>
  <c r="CY29" i="8"/>
  <c r="CY30" i="8"/>
  <c r="CY31" i="8"/>
  <c r="CY32" i="8"/>
  <c r="CY33" i="8"/>
  <c r="CX29" i="8"/>
  <c r="CX30" i="8"/>
  <c r="CX31" i="8"/>
  <c r="CX32" i="8"/>
  <c r="CX33" i="8"/>
  <c r="CZ29" i="8"/>
  <c r="CZ30" i="8"/>
  <c r="CV33" i="8"/>
  <c r="CV32" i="8"/>
  <c r="CV29" i="8"/>
  <c r="CV30" i="8"/>
  <c r="CV31" i="8"/>
  <c r="CU29" i="8"/>
  <c r="CU32" i="8"/>
  <c r="CU33" i="8"/>
  <c r="CU30" i="8"/>
  <c r="CU31" i="8"/>
  <c r="CW30" i="8"/>
  <c r="CW29" i="8"/>
  <c r="CT30" i="8"/>
  <c r="CT29" i="8"/>
  <c r="CS33" i="8"/>
  <c r="CS32" i="8"/>
  <c r="CS31" i="8"/>
  <c r="CS30" i="8"/>
  <c r="CS29" i="8"/>
  <c r="EG14" i="8"/>
  <c r="DE14" i="8"/>
  <c r="EF14" i="8"/>
  <c r="DD14" i="8"/>
  <c r="EE14" i="8"/>
  <c r="DC14" i="8"/>
  <c r="CS14" i="8"/>
  <c r="ED14" i="8"/>
  <c r="DB14" i="8"/>
  <c r="ES14" i="8"/>
  <c r="EC14" i="8"/>
  <c r="DA14" i="8"/>
  <c r="ER14" i="8"/>
  <c r="EB14" i="8"/>
  <c r="CZ14" i="8"/>
  <c r="EQ14" i="8"/>
  <c r="DO14" i="8"/>
  <c r="CY14" i="8"/>
  <c r="EP14" i="8"/>
  <c r="DN14" i="8"/>
  <c r="CX14" i="8"/>
  <c r="EO14" i="8"/>
  <c r="DM14" i="8"/>
  <c r="CR7" i="8"/>
  <c r="CR13" i="8" s="1"/>
  <c r="DR14" i="8"/>
  <c r="DT14" i="8"/>
  <c r="DV14" i="8"/>
  <c r="DY14" i="8"/>
  <c r="DQ14" i="8"/>
  <c r="DX14" i="8"/>
  <c r="EA14" i="8"/>
  <c r="DP14" i="8"/>
  <c r="DS14" i="8"/>
  <c r="DU14" i="8"/>
  <c r="DW14" i="8"/>
  <c r="DZ14" i="8"/>
  <c r="EQ19" i="8"/>
  <c r="EA19" i="8"/>
  <c r="DC19" i="8"/>
  <c r="EP19" i="8"/>
  <c r="EH19" i="8"/>
  <c r="DZ19" i="8"/>
  <c r="DR19" i="8"/>
  <c r="DJ19" i="8"/>
  <c r="EN19" i="8"/>
  <c r="EF19" i="8"/>
  <c r="DX19" i="8"/>
  <c r="DP19" i="8"/>
  <c r="DH19" i="8"/>
  <c r="CZ19" i="8"/>
  <c r="EM19" i="8"/>
  <c r="EE19" i="8"/>
  <c r="DW19" i="8"/>
  <c r="DO19" i="8"/>
  <c r="DG19" i="8"/>
  <c r="CY19" i="8"/>
  <c r="EL19" i="8"/>
  <c r="ED19" i="8"/>
  <c r="DV19" i="8"/>
  <c r="DN19" i="8"/>
  <c r="DF19" i="8"/>
  <c r="CX19" i="8"/>
  <c r="ES19" i="8"/>
  <c r="EK19" i="8"/>
  <c r="EC19" i="8"/>
  <c r="DU19" i="8"/>
  <c r="DM19" i="8"/>
  <c r="DE19" i="8"/>
  <c r="CW19" i="8"/>
  <c r="ER19" i="8"/>
  <c r="EJ19" i="8"/>
  <c r="EB19" i="8"/>
  <c r="DT19" i="8"/>
  <c r="DL19" i="8"/>
  <c r="DD19" i="8"/>
  <c r="CV19" i="8"/>
  <c r="EI19" i="8"/>
  <c r="DS19" i="8"/>
  <c r="DK19" i="8"/>
  <c r="CU19" i="8"/>
  <c r="DB19" i="8"/>
  <c r="CT19" i="8"/>
  <c r="EO19" i="8"/>
  <c r="EG19" i="8"/>
  <c r="DY19" i="8"/>
  <c r="DQ19" i="8"/>
  <c r="DI19" i="8"/>
  <c r="DA19" i="8"/>
  <c r="CS19" i="8"/>
  <c r="EN7" i="8"/>
  <c r="EN13" i="8" s="1"/>
  <c r="EF7" i="8"/>
  <c r="EF13" i="8" s="1"/>
  <c r="DX7" i="8"/>
  <c r="DX13" i="8" s="1"/>
  <c r="DP7" i="8"/>
  <c r="DP13" i="8" s="1"/>
  <c r="DH7" i="8"/>
  <c r="DH13" i="8" s="1"/>
  <c r="CZ7" i="8"/>
  <c r="CZ13" i="8" s="1"/>
  <c r="EM7" i="8"/>
  <c r="EM13" i="8" s="1"/>
  <c r="EE7" i="8"/>
  <c r="EE13" i="8" s="1"/>
  <c r="DW7" i="8"/>
  <c r="DW13" i="8" s="1"/>
  <c r="DO7" i="8"/>
  <c r="DG7" i="8"/>
  <c r="DG13" i="8" s="1"/>
  <c r="CY7" i="8"/>
  <c r="CY13" i="8" s="1"/>
  <c r="EL7" i="8"/>
  <c r="EL13" i="8" s="1"/>
  <c r="ED7" i="8"/>
  <c r="ED13" i="8" s="1"/>
  <c r="DV7" i="8"/>
  <c r="DV13" i="8" s="1"/>
  <c r="DN7" i="8"/>
  <c r="DN13" i="8" s="1"/>
  <c r="DF7" i="8"/>
  <c r="DF13" i="8" s="1"/>
  <c r="CX7" i="8"/>
  <c r="CX13" i="8" s="1"/>
  <c r="ES7" i="8"/>
  <c r="ES13" i="8" s="1"/>
  <c r="EK7" i="8"/>
  <c r="EK13" i="8" s="1"/>
  <c r="EC7" i="8"/>
  <c r="EC13" i="8" s="1"/>
  <c r="DU7" i="8"/>
  <c r="DU13" i="8" s="1"/>
  <c r="DM7" i="8"/>
  <c r="DM13" i="8" s="1"/>
  <c r="DE7" i="8"/>
  <c r="DE13" i="8" s="1"/>
  <c r="CW7" i="8"/>
  <c r="CW13" i="8" s="1"/>
  <c r="ER7" i="8"/>
  <c r="ER13" i="8" s="1"/>
  <c r="EJ7" i="8"/>
  <c r="EJ13" i="8" s="1"/>
  <c r="EB7" i="8"/>
  <c r="EB13" i="8" s="1"/>
  <c r="DT7" i="8"/>
  <c r="DT13" i="8" s="1"/>
  <c r="DL7" i="8"/>
  <c r="DL13" i="8" s="1"/>
  <c r="DD7" i="8"/>
  <c r="DD13" i="8" s="1"/>
  <c r="CV7" i="8"/>
  <c r="CV13" i="8" s="1"/>
  <c r="EQ7" i="8"/>
  <c r="EQ13" i="8" s="1"/>
  <c r="EI7" i="8"/>
  <c r="EI13" i="8" s="1"/>
  <c r="EA7" i="8"/>
  <c r="EA13" i="8" s="1"/>
  <c r="DS7" i="8"/>
  <c r="DS13" i="8" s="1"/>
  <c r="DK7" i="8"/>
  <c r="DK13" i="8" s="1"/>
  <c r="DC7" i="8"/>
  <c r="DC13" i="8" s="1"/>
  <c r="CU7" i="8"/>
  <c r="CU13" i="8" s="1"/>
  <c r="EP7" i="8"/>
  <c r="EP13" i="8" s="1"/>
  <c r="EH7" i="8"/>
  <c r="EH13" i="8" s="1"/>
  <c r="DZ7" i="8"/>
  <c r="DZ13" i="8" s="1"/>
  <c r="DR7" i="8"/>
  <c r="DR13" i="8" s="1"/>
  <c r="DJ7" i="8"/>
  <c r="DJ13" i="8" s="1"/>
  <c r="DB7" i="8"/>
  <c r="DB13" i="8" s="1"/>
  <c r="CT7" i="8"/>
  <c r="CT13" i="8" s="1"/>
  <c r="EO7" i="8"/>
  <c r="EO13" i="8" s="1"/>
  <c r="EG7" i="8"/>
  <c r="EG13" i="8" s="1"/>
  <c r="DY7" i="8"/>
  <c r="DY13" i="8" s="1"/>
  <c r="DQ7" i="8"/>
  <c r="DQ13" i="8" s="1"/>
  <c r="DI7" i="8"/>
  <c r="DI13" i="8" s="1"/>
  <c r="DA7" i="8"/>
  <c r="DA13" i="8" s="1"/>
  <c r="CS7" i="8"/>
  <c r="CS13" i="8" s="1"/>
  <c r="SM8" i="29" a="1"/>
  <c r="QI8" i="29" a="1"/>
  <c r="KU8" i="29" a="1"/>
  <c r="NG8" i="29" a="1"/>
  <c r="SU8" i="29" a="1"/>
  <c r="CU8" i="29" a="1"/>
  <c r="NW8" i="29" a="1"/>
  <c r="HS8" i="29" a="1"/>
  <c r="PC8" i="29" a="1"/>
  <c r="EQ8" i="29" a="1"/>
  <c r="PK8" i="29" a="1"/>
  <c r="JW8" i="29" a="1"/>
  <c r="VG8" i="29" a="1"/>
  <c r="OU8" i="29" a="1"/>
  <c r="MY8" i="29" a="1"/>
  <c r="UA8" i="29" a="1"/>
  <c r="QQ8" i="29" a="1"/>
  <c r="EA8" i="29" a="1"/>
  <c r="CE8" i="29" a="1"/>
  <c r="TC8" i="29" a="1"/>
  <c r="IY8" i="29" a="1"/>
  <c r="TK8" i="29" a="1"/>
  <c r="OE8" i="29" a="1"/>
  <c r="RG8" i="29" a="1"/>
  <c r="LK8" i="29" a="1"/>
  <c r="IA8" i="29" a="1"/>
  <c r="PS8" i="29" a="1"/>
  <c r="GU8" i="29" a="1"/>
  <c r="UY8" i="29" a="1"/>
  <c r="HK8" i="29" a="1"/>
  <c r="DK8" i="29" a="1"/>
  <c r="BO8" i="29" a="1"/>
  <c r="KE8" i="29" a="1"/>
  <c r="MA8" i="29" a="1"/>
  <c r="FW8" i="29" a="1"/>
  <c r="TS8" i="29" a="1"/>
  <c r="HC8" i="29" a="1"/>
  <c r="II8" i="29" a="1"/>
  <c r="QY8" i="29" a="1"/>
  <c r="JG8" i="29" a="1"/>
  <c r="FG8" i="29" a="1"/>
  <c r="CM8" i="29" a="1"/>
  <c r="VO8" i="29" a="1"/>
  <c r="EY8" i="29" a="1"/>
  <c r="MQ8" i="29" a="1"/>
  <c r="QA8" i="29" a="1"/>
  <c r="UI8" i="29" a="1"/>
  <c r="DS8" i="29" a="1"/>
  <c r="FO8" i="29" a="1"/>
  <c r="GE8" i="29" a="1"/>
  <c r="SE8" i="29" a="1"/>
  <c r="NO8" i="29" a="1"/>
  <c r="LS8" i="29" a="1"/>
  <c r="GM8" i="29" a="1"/>
  <c r="UQ8" i="29" a="1"/>
  <c r="KM8" i="29" a="1"/>
  <c r="IQ8" i="29" a="1"/>
  <c r="LC8" i="29" a="1"/>
  <c r="RW8" i="29" a="1"/>
  <c r="OM8" i="29" a="1"/>
  <c r="JO8" i="29" a="1"/>
  <c r="EI8" i="29" a="1"/>
  <c r="BW8" i="29" a="1"/>
  <c r="DC8" i="29" a="1"/>
  <c r="RO8" i="29" a="1"/>
  <c r="MI8" i="29" a="1"/>
  <c r="E23" i="32" l="1"/>
  <c r="E30" i="32" s="1"/>
  <c r="C32" i="32"/>
  <c r="C36" i="32" s="1"/>
  <c r="W105" i="32"/>
  <c r="W102" i="32"/>
  <c r="AZ4" i="32"/>
  <c r="AZ5" i="32"/>
  <c r="AW2" i="32"/>
  <c r="AX2" i="32" s="1"/>
  <c r="AY2" i="32" s="1" a="1"/>
  <c r="AY2" i="32" s="1"/>
  <c r="AX5" i="10"/>
  <c r="E23" i="10"/>
  <c r="E14" i="10"/>
  <c r="C32" i="10"/>
  <c r="C36" i="10" s="1"/>
  <c r="C41" i="10" s="1"/>
  <c r="C45" i="10" s="1"/>
  <c r="C50" i="10" s="1"/>
  <c r="C54" i="10" s="1"/>
  <c r="C59" i="10" s="1"/>
  <c r="C63" i="10" s="1"/>
  <c r="C68" i="10" s="1"/>
  <c r="C72" i="10" s="1"/>
  <c r="C77" i="10" s="1"/>
  <c r="C81" i="10" s="1"/>
  <c r="C86" i="10" s="1"/>
  <c r="E86" i="10" s="1"/>
  <c r="AJ7" i="1" a="1"/>
  <c r="AJ7" i="1" s="1"/>
  <c r="DO13" i="8"/>
  <c r="AK7" i="1" a="1"/>
  <c r="AK7" i="1" s="1"/>
  <c r="VO8" i="29"/>
  <c r="VG8" i="29"/>
  <c r="UY8" i="29"/>
  <c r="UQ8" i="29"/>
  <c r="UI8" i="29"/>
  <c r="UA8" i="29"/>
  <c r="TS8" i="29"/>
  <c r="TK8" i="29"/>
  <c r="TC8" i="29"/>
  <c r="SU8" i="29"/>
  <c r="SM8" i="29"/>
  <c r="SE8" i="29"/>
  <c r="RW8" i="29"/>
  <c r="RO8" i="29"/>
  <c r="RG8" i="29"/>
  <c r="QY8" i="29"/>
  <c r="QQ8" i="29"/>
  <c r="QI8" i="29"/>
  <c r="QA8" i="29"/>
  <c r="PS8" i="29"/>
  <c r="PK8" i="29"/>
  <c r="PC8" i="29"/>
  <c r="OU8" i="29"/>
  <c r="OM8" i="29"/>
  <c r="OE8" i="29"/>
  <c r="NW8" i="29"/>
  <c r="NG8" i="29"/>
  <c r="NO8" i="29"/>
  <c r="MY8" i="29"/>
  <c r="MQ8" i="29"/>
  <c r="MI8" i="29"/>
  <c r="MA8" i="29"/>
  <c r="LS8" i="29"/>
  <c r="LK8" i="29"/>
  <c r="LC8" i="29"/>
  <c r="ES28" i="8"/>
  <c r="ER28" i="8"/>
  <c r="EQ28" i="8"/>
  <c r="EP28" i="8"/>
  <c r="EO28" i="8"/>
  <c r="EN28" i="8"/>
  <c r="EM28" i="8"/>
  <c r="EL28" i="8"/>
  <c r="EK28" i="8"/>
  <c r="EJ28" i="8"/>
  <c r="EI28" i="8"/>
  <c r="EH28" i="8"/>
  <c r="EG28" i="8"/>
  <c r="EF28" i="8"/>
  <c r="ED28" i="8"/>
  <c r="EE28" i="8"/>
  <c r="EC28" i="8"/>
  <c r="EB28" i="8"/>
  <c r="EA28" i="8"/>
  <c r="DZ28" i="8"/>
  <c r="DY28" i="8"/>
  <c r="DX28" i="8"/>
  <c r="DW28" i="8"/>
  <c r="KU8" i="29"/>
  <c r="DV28" i="8"/>
  <c r="KM8" i="29"/>
  <c r="DU28" i="8"/>
  <c r="KE8" i="29"/>
  <c r="DT28" i="8"/>
  <c r="JW8" i="29"/>
  <c r="DS28" i="8"/>
  <c r="JO8" i="29"/>
  <c r="DR28" i="8"/>
  <c r="JG8" i="29"/>
  <c r="DQ28" i="8"/>
  <c r="IY8" i="29"/>
  <c r="IQ8" i="29"/>
  <c r="DO28" i="8"/>
  <c r="II8" i="29"/>
  <c r="DN28" i="8"/>
  <c r="IA8" i="29"/>
  <c r="DM28" i="8"/>
  <c r="HS8" i="29"/>
  <c r="DL28" i="8"/>
  <c r="HK8" i="29"/>
  <c r="DK28" i="8"/>
  <c r="HC8" i="29"/>
  <c r="DJ28" i="8"/>
  <c r="GU8" i="29"/>
  <c r="DI28" i="8"/>
  <c r="GM8" i="29"/>
  <c r="DH28" i="8"/>
  <c r="GE8" i="29"/>
  <c r="DG28" i="8"/>
  <c r="FW8" i="29"/>
  <c r="DF28" i="8"/>
  <c r="FO8" i="29"/>
  <c r="DE28" i="8"/>
  <c r="FG8" i="29"/>
  <c r="DD28" i="8"/>
  <c r="EY8" i="29"/>
  <c r="DC28" i="8"/>
  <c r="EQ8" i="29"/>
  <c r="DB28" i="8"/>
  <c r="EI8" i="29"/>
  <c r="DA28" i="8"/>
  <c r="EA8" i="29"/>
  <c r="CZ28" i="8"/>
  <c r="DS8" i="29"/>
  <c r="CY28" i="8"/>
  <c r="DK8" i="29"/>
  <c r="CX28" i="8"/>
  <c r="DC8" i="29"/>
  <c r="CW28" i="8"/>
  <c r="CU8" i="29"/>
  <c r="CV28" i="8"/>
  <c r="CM8" i="29"/>
  <c r="CU28" i="8"/>
  <c r="CE8" i="29"/>
  <c r="CT28" i="8"/>
  <c r="BW8" i="29"/>
  <c r="CS28" i="8"/>
  <c r="DP28" i="8"/>
  <c r="BO8" i="29"/>
  <c r="CR30" i="8"/>
  <c r="CR32" i="8"/>
  <c r="CR33" i="8"/>
  <c r="CR31" i="8"/>
  <c r="BM3" i="29"/>
  <c r="Z2" i="10"/>
  <c r="AZ3" i="32" l="1"/>
  <c r="BA2" i="32" a="1"/>
  <c r="BA2" i="32" s="1"/>
  <c r="AZ2" i="32"/>
  <c r="E32" i="32"/>
  <c r="E39" i="32" s="1"/>
  <c r="C41" i="32"/>
  <c r="C45" i="32" s="1"/>
  <c r="E41" i="10"/>
  <c r="Z4" i="10"/>
  <c r="C50" i="32" l="1"/>
  <c r="C54" i="32" s="1"/>
  <c r="E41" i="32"/>
  <c r="E48" i="32" s="1"/>
  <c r="E77" i="10"/>
  <c r="K77" i="10"/>
  <c r="K68" i="10"/>
  <c r="E68" i="10"/>
  <c r="C59" i="32" l="1"/>
  <c r="C63" i="32" s="1"/>
  <c r="E50" i="32"/>
  <c r="E57" i="32" s="1"/>
  <c r="K58" i="10"/>
  <c r="E59" i="32" l="1"/>
  <c r="E66" i="32" s="1"/>
  <c r="C68" i="32"/>
  <c r="C72" i="32" s="1"/>
  <c r="M18" i="10"/>
  <c r="C77" i="32" l="1"/>
  <c r="C81" i="32" s="1"/>
  <c r="E68" i="32"/>
  <c r="E75" i="32" s="1"/>
  <c r="M14" i="10"/>
  <c r="C86" i="32" l="1"/>
  <c r="E86" i="32" s="1"/>
  <c r="E77" i="32"/>
  <c r="E84" i="32" s="1"/>
  <c r="CW14" i="8"/>
  <c r="CU14" i="8"/>
  <c r="CV14" i="8"/>
  <c r="E93" i="32" l="1"/>
  <c r="G95" i="32" s="1"/>
  <c r="CT14" i="8"/>
  <c r="CR14" i="8"/>
  <c r="AE7" i="29" l="1" a="1"/>
  <c r="AE7" i="29" s="1"/>
  <c r="AE26" i="1"/>
  <c r="AF53" i="29" l="1"/>
  <c r="AF43" i="29"/>
  <c r="AF34" i="29"/>
  <c r="AF59" i="29"/>
  <c r="AF47" i="29"/>
  <c r="AF36" i="29"/>
  <c r="AF60" i="29"/>
  <c r="AF63" i="29"/>
  <c r="AF45" i="29"/>
  <c r="AF48" i="29"/>
  <c r="AF61" i="29"/>
  <c r="AF38" i="29"/>
  <c r="AF32" i="29"/>
  <c r="AF37" i="29"/>
  <c r="AF70" i="29"/>
  <c r="AF49" i="29"/>
  <c r="AF40" i="29"/>
  <c r="AF44" i="29"/>
  <c r="AF50" i="29"/>
  <c r="AF62" i="29"/>
  <c r="AF72" i="29"/>
  <c r="AF35" i="29"/>
  <c r="AF51" i="29"/>
  <c r="AF42" i="29"/>
  <c r="AF58" i="29"/>
  <c r="AF31" i="29"/>
  <c r="AF52" i="29"/>
  <c r="AF69" i="29"/>
  <c r="AF64" i="29"/>
  <c r="AF46" i="29"/>
  <c r="AF54" i="29"/>
  <c r="AF33" i="29"/>
  <c r="AF55" i="29"/>
  <c r="AF39" i="29"/>
  <c r="AF65" i="29"/>
  <c r="AF71" i="29"/>
  <c r="AF56" i="29"/>
  <c r="AF66" i="29"/>
  <c r="AF41" i="29"/>
  <c r="AF57" i="29"/>
  <c r="AF67" i="29"/>
  <c r="AF68" i="29"/>
  <c r="AF27" i="29"/>
  <c r="AF28" i="29"/>
  <c r="AF29" i="29"/>
  <c r="AF30" i="29"/>
  <c r="AF25" i="29"/>
  <c r="AF26" i="29"/>
  <c r="Y26" i="1"/>
  <c r="Z8" i="1" s="1"/>
  <c r="AF7" i="29" l="1"/>
  <c r="AF24" i="29"/>
  <c r="AF19" i="29"/>
  <c r="AF14" i="29"/>
  <c r="AF9" i="29"/>
  <c r="AF18" i="29"/>
  <c r="AF21" i="29"/>
  <c r="AF17" i="29"/>
  <c r="AF8" i="29"/>
  <c r="AF10" i="29"/>
  <c r="AF22" i="29"/>
  <c r="AF15" i="29"/>
  <c r="AF13" i="29"/>
  <c r="AF16" i="29"/>
  <c r="AF11" i="29"/>
  <c r="AF23" i="29"/>
  <c r="AF12" i="29"/>
  <c r="AF20" i="29"/>
  <c r="I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K59" i="10"/>
  <c r="E59" i="10" s="1"/>
  <c r="E50"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K32" i="10"/>
  <c r="M31" i="10"/>
  <c r="M30" i="10"/>
  <c r="M29" i="10"/>
  <c r="M28" i="10"/>
  <c r="M27" i="10"/>
  <c r="M26" i="10"/>
  <c r="M25" i="10"/>
  <c r="M24" i="10"/>
  <c r="M23" i="10"/>
  <c r="M22" i="10"/>
  <c r="M21" i="10"/>
  <c r="G21" i="10"/>
  <c r="M20" i="10"/>
  <c r="M19" i="10"/>
  <c r="M17" i="10"/>
  <c r="M16" i="10"/>
  <c r="M15" i="10"/>
  <c r="W108" i="10" l="1"/>
  <c r="E7" i="10" s="1"/>
  <c r="AW22" i="10"/>
  <c r="AX22" i="10" s="1"/>
  <c r="AY2" i="10" s="1" a="1"/>
  <c r="AY2" i="10" s="1"/>
  <c r="BA2" i="10" s="1" a="1"/>
  <c r="BA2" i="10" s="1"/>
  <c r="E32" i="10"/>
  <c r="M59" i="10"/>
  <c r="M32" i="10"/>
  <c r="G30" i="10"/>
  <c r="G39" i="10" s="1"/>
  <c r="G48" i="10" s="1"/>
  <c r="G57" i="10" s="1"/>
  <c r="G66" i="10" s="1"/>
  <c r="G75" i="10" s="1"/>
  <c r="G84" i="10" s="1"/>
  <c r="G93" i="10" s="1"/>
  <c r="K95" i="10"/>
  <c r="M58" i="10"/>
  <c r="W105" i="10" l="1"/>
  <c r="W102" i="10"/>
  <c r="Q111" i="10"/>
  <c r="Q105" i="10"/>
  <c r="Q108" i="10"/>
  <c r="AZ3" i="10"/>
  <c r="AZ4" i="10"/>
  <c r="AZ5" i="10"/>
  <c r="AZ2" i="10"/>
  <c r="E21" i="10"/>
  <c r="E30" i="10" l="1"/>
  <c r="E39" i="10" s="1"/>
  <c r="E48" i="10" s="1"/>
  <c r="E57" i="10" s="1"/>
  <c r="E66" i="10" l="1"/>
  <c r="E75" i="10" l="1"/>
  <c r="E84" i="10" l="1"/>
  <c r="E93" i="10" l="1"/>
  <c r="G9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Cysne (External)</author>
    <author>Eduardo Cysne</author>
    <author>Joao Cruz1</author>
  </authors>
  <commentList>
    <comment ref="E12" authorId="0" shapeId="0" xr:uid="{35682AC3-AD8B-402A-8539-4C4EC3407258}">
      <text>
        <r>
          <rPr>
            <b/>
            <sz val="9"/>
            <color indexed="81"/>
            <rFont val="Tahoma"/>
            <family val="2"/>
          </rPr>
          <t xml:space="preserve">Eduardo Cysne:
</t>
        </r>
        <r>
          <rPr>
            <sz val="9"/>
            <color indexed="81"/>
            <rFont val="Tahoma"/>
            <family val="2"/>
          </rPr>
          <t xml:space="preserve">Versão da peça
</t>
        </r>
      </text>
    </comment>
    <comment ref="G12" authorId="0" shapeId="0" xr:uid="{0E00D8E1-A0AF-495F-A826-BDB517132A4E}">
      <text>
        <r>
          <rPr>
            <b/>
            <sz val="9"/>
            <color indexed="81"/>
            <rFont val="Tahoma"/>
            <family val="2"/>
          </rPr>
          <t xml:space="preserve">Eduardo Cysne:
</t>
        </r>
        <r>
          <rPr>
            <sz val="9"/>
            <color indexed="81"/>
            <rFont val="Tahoma"/>
            <family val="2"/>
          </rPr>
          <t xml:space="preserve">Indicação se é SPARE PART
</t>
        </r>
      </text>
    </comment>
    <comment ref="W102" authorId="0" shapeId="0" xr:uid="{40F6473F-9453-4208-AC33-57437BB6815A}">
      <text>
        <r>
          <rPr>
            <b/>
            <sz val="9"/>
            <color indexed="81"/>
            <rFont val="Tahoma"/>
            <family val="2"/>
          </rPr>
          <t xml:space="preserve">Eduardo Cysne:
</t>
        </r>
        <r>
          <rPr>
            <sz val="9"/>
            <color indexed="81"/>
            <rFont val="Tahoma"/>
            <family val="2"/>
          </rPr>
          <t>Overall Equipament Efectiviness = Performance * Availability * Quality</t>
        </r>
      </text>
    </comment>
    <comment ref="Q105" authorId="0" shapeId="0" xr:uid="{639B0228-A7E1-470E-AA5D-629BA2D42249}">
      <text>
        <r>
          <rPr>
            <b/>
            <sz val="9"/>
            <color indexed="81"/>
            <rFont val="Tahoma"/>
            <family val="2"/>
          </rPr>
          <t xml:space="preserve">Eduardo Cysne:
</t>
        </r>
        <r>
          <rPr>
            <sz val="9"/>
            <color indexed="81"/>
            <rFont val="Tahoma"/>
            <family val="2"/>
          </rPr>
          <t>(parts produced-NOK parts)/parts produced)</t>
        </r>
      </text>
    </comment>
    <comment ref="W105" authorId="0" shapeId="0" xr:uid="{783C500F-8603-49E4-9AA4-584C5B8DB584}">
      <text>
        <r>
          <rPr>
            <b/>
            <sz val="9"/>
            <color indexed="81"/>
            <rFont val="Tahoma"/>
            <family val="2"/>
          </rPr>
          <t xml:space="preserve">Eduardo Cysne:
</t>
        </r>
        <r>
          <rPr>
            <sz val="9"/>
            <color indexed="81"/>
            <rFont val="Tahoma"/>
            <family val="2"/>
          </rPr>
          <t>Production Per Labour Hour (PPLH)</t>
        </r>
      </text>
    </comment>
    <comment ref="N108" authorId="1" shapeId="0" xr:uid="{D347DCAB-F3C3-423B-835B-190905D9D300}">
      <text>
        <r>
          <rPr>
            <b/>
            <sz val="9"/>
            <color indexed="81"/>
            <rFont val="Tahoma"/>
            <family val="2"/>
          </rPr>
          <t>Eduardo Cysne:</t>
        </r>
        <r>
          <rPr>
            <sz val="9"/>
            <color indexed="81"/>
            <rFont val="Tahoma"/>
            <family val="2"/>
          </rPr>
          <t xml:space="preserve">
First Time Through Quality</t>
        </r>
      </text>
    </comment>
    <comment ref="Q108" authorId="2" shapeId="0" xr:uid="{E7095A93-ACEE-4B0B-B277-B46E498C4A6B}">
      <text>
        <r>
          <rPr>
            <b/>
            <sz val="9"/>
            <color indexed="81"/>
            <rFont val="Tahoma"/>
            <family val="2"/>
          </rPr>
          <t>Eduardo Cysne:</t>
        </r>
        <r>
          <rPr>
            <sz val="9"/>
            <color indexed="81"/>
            <rFont val="Tahoma"/>
            <family val="2"/>
          </rPr>
          <t xml:space="preserve">
(parts produced-reworked parts)/parts produced</t>
        </r>
      </text>
    </comment>
    <comment ref="W108" authorId="0" shapeId="0" xr:uid="{C871FB20-65CD-455B-B1A8-DF87A6946758}">
      <text>
        <r>
          <rPr>
            <b/>
            <sz val="9"/>
            <color indexed="81"/>
            <rFont val="Tahoma"/>
            <family val="2"/>
          </rPr>
          <t xml:space="preserve">Eduardo Cysne:
</t>
        </r>
        <r>
          <rPr>
            <sz val="9"/>
            <color indexed="81"/>
            <rFont val="Tahoma"/>
            <family val="2"/>
          </rPr>
          <t>100% Efficiency = 0 planned &amp; unplanned downtimes. Serves to calculate the maximum of production per hour block.</t>
        </r>
      </text>
    </comment>
    <comment ref="Q111" authorId="0" shapeId="0" xr:uid="{E827F755-B60A-47CD-8519-439A172D85B6}">
      <text>
        <r>
          <rPr>
            <b/>
            <sz val="9"/>
            <color indexed="81"/>
            <rFont val="Tahoma"/>
            <family val="2"/>
          </rPr>
          <t xml:space="preserve">Eduardo Cysne:
</t>
        </r>
        <r>
          <rPr>
            <sz val="9"/>
            <color indexed="81"/>
            <rFont val="Tahoma"/>
            <family val="2"/>
          </rPr>
          <t>Total Downtime</t>
        </r>
      </text>
    </comment>
    <comment ref="W111" authorId="0" shapeId="0" xr:uid="{43B87A2D-A01A-4C40-AAD0-E6FE30BFFED8}">
      <text>
        <r>
          <rPr>
            <b/>
            <sz val="9"/>
            <color indexed="81"/>
            <rFont val="Tahoma"/>
            <family val="2"/>
          </rPr>
          <t xml:space="preserve">Eduardo Cysne:
</t>
        </r>
        <r>
          <rPr>
            <sz val="9"/>
            <color indexed="81"/>
            <rFont val="Tahoma"/>
            <family val="2"/>
          </rPr>
          <t>Seconds to produce a product</t>
        </r>
      </text>
    </comment>
    <comment ref="Q114" authorId="0" shapeId="0" xr:uid="{B5E9D6E9-1F7A-4A3E-8156-C3E4B6221940}">
      <text>
        <r>
          <rPr>
            <b/>
            <sz val="9"/>
            <color indexed="81"/>
            <rFont val="Tahoma"/>
            <family val="2"/>
          </rPr>
          <t xml:space="preserve">Eduardo Cysne:
</t>
        </r>
        <r>
          <rPr>
            <sz val="9"/>
            <color indexed="81"/>
            <rFont val="Tahoma"/>
            <family val="2"/>
          </rPr>
          <t xml:space="preserve">named used for kpis references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Cysne (External)</author>
    <author>Eduardo Cysne</author>
    <author>Joao Cruz1</author>
  </authors>
  <commentList>
    <comment ref="E12" authorId="0" shapeId="0" xr:uid="{C4408CDA-7E3A-4874-AE80-5B7E8057DCA4}">
      <text>
        <r>
          <rPr>
            <b/>
            <sz val="9"/>
            <color indexed="81"/>
            <rFont val="Tahoma"/>
            <family val="2"/>
          </rPr>
          <t xml:space="preserve">Eduardo Cysne:
</t>
        </r>
        <r>
          <rPr>
            <sz val="9"/>
            <color indexed="81"/>
            <rFont val="Tahoma"/>
            <family val="2"/>
          </rPr>
          <t xml:space="preserve">Versão da peça
</t>
        </r>
      </text>
    </comment>
    <comment ref="G12" authorId="0" shapeId="0" xr:uid="{C129244F-64EF-48EB-930D-3392BA8DF720}">
      <text>
        <r>
          <rPr>
            <b/>
            <sz val="9"/>
            <color indexed="81"/>
            <rFont val="Tahoma"/>
            <family val="2"/>
          </rPr>
          <t xml:space="preserve">Eduardo Cysne:
</t>
        </r>
        <r>
          <rPr>
            <sz val="9"/>
            <color indexed="81"/>
            <rFont val="Tahoma"/>
            <family val="2"/>
          </rPr>
          <t xml:space="preserve">Indicação se é SPARE PART
</t>
        </r>
      </text>
    </comment>
    <comment ref="W102" authorId="0" shapeId="0" xr:uid="{889D0ADA-33A6-4A8A-96DF-CFE7693BAB9A}">
      <text>
        <r>
          <rPr>
            <b/>
            <sz val="9"/>
            <color indexed="81"/>
            <rFont val="Tahoma"/>
            <family val="2"/>
          </rPr>
          <t xml:space="preserve">Eduardo Cysne:
</t>
        </r>
        <r>
          <rPr>
            <sz val="9"/>
            <color indexed="81"/>
            <rFont val="Tahoma"/>
            <family val="2"/>
          </rPr>
          <t>Overall Equipament Efectiviness = Performance * Availability * Quality</t>
        </r>
      </text>
    </comment>
    <comment ref="Q105" authorId="0" shapeId="0" xr:uid="{D7354E85-6811-48A6-8437-719FB2B74DA0}">
      <text>
        <r>
          <rPr>
            <b/>
            <sz val="9"/>
            <color indexed="81"/>
            <rFont val="Tahoma"/>
            <family val="2"/>
          </rPr>
          <t xml:space="preserve">Eduardo Cysne:
</t>
        </r>
        <r>
          <rPr>
            <sz val="9"/>
            <color indexed="81"/>
            <rFont val="Tahoma"/>
            <family val="2"/>
          </rPr>
          <t>(parts produced-NOK parts)/parts produced)</t>
        </r>
      </text>
    </comment>
    <comment ref="W105" authorId="0" shapeId="0" xr:uid="{7E90FF41-AB44-43DE-946D-DF44A8F36254}">
      <text>
        <r>
          <rPr>
            <b/>
            <sz val="9"/>
            <color indexed="81"/>
            <rFont val="Tahoma"/>
            <family val="2"/>
          </rPr>
          <t xml:space="preserve">Eduardo Cysne:
</t>
        </r>
        <r>
          <rPr>
            <sz val="9"/>
            <color indexed="81"/>
            <rFont val="Tahoma"/>
            <family val="2"/>
          </rPr>
          <t>Production Per Labour Hour (PPLH)</t>
        </r>
      </text>
    </comment>
    <comment ref="N108" authorId="1" shapeId="0" xr:uid="{724FC753-4AB3-46C0-8788-B3C6C34566FC}">
      <text>
        <r>
          <rPr>
            <b/>
            <sz val="9"/>
            <color indexed="81"/>
            <rFont val="Tahoma"/>
            <family val="2"/>
          </rPr>
          <t>Eduardo Cysne:</t>
        </r>
        <r>
          <rPr>
            <sz val="9"/>
            <color indexed="81"/>
            <rFont val="Tahoma"/>
            <family val="2"/>
          </rPr>
          <t xml:space="preserve">
First Time Through Quality</t>
        </r>
      </text>
    </comment>
    <comment ref="Q108" authorId="2" shapeId="0" xr:uid="{0E6714F2-1A07-4BFB-941C-2B4000947D5D}">
      <text>
        <r>
          <rPr>
            <b/>
            <sz val="9"/>
            <color indexed="81"/>
            <rFont val="Tahoma"/>
            <family val="2"/>
          </rPr>
          <t>Eduardo Cysne:</t>
        </r>
        <r>
          <rPr>
            <sz val="9"/>
            <color indexed="81"/>
            <rFont val="Tahoma"/>
            <family val="2"/>
          </rPr>
          <t xml:space="preserve">
(parts produced-reworked parts)/parts produced</t>
        </r>
      </text>
    </comment>
    <comment ref="W108" authorId="0" shapeId="0" xr:uid="{0B82801D-0FAD-4238-BAAB-006ACB7B5052}">
      <text>
        <r>
          <rPr>
            <b/>
            <sz val="9"/>
            <color indexed="81"/>
            <rFont val="Tahoma"/>
            <family val="2"/>
          </rPr>
          <t xml:space="preserve">Eduardo Cysne:
</t>
        </r>
        <r>
          <rPr>
            <sz val="9"/>
            <color indexed="81"/>
            <rFont val="Tahoma"/>
            <family val="2"/>
          </rPr>
          <t>100% Efficiency = 0 planned &amp; unplanned downtimes. Serves to calculate the maximum of production per hour block.</t>
        </r>
      </text>
    </comment>
    <comment ref="Q111" authorId="0" shapeId="0" xr:uid="{E55B5F23-D0E2-402F-98BC-5AD5261713FE}">
      <text>
        <r>
          <rPr>
            <b/>
            <sz val="9"/>
            <color indexed="81"/>
            <rFont val="Tahoma"/>
            <family val="2"/>
          </rPr>
          <t xml:space="preserve">Eduardo Cysne:
</t>
        </r>
        <r>
          <rPr>
            <sz val="9"/>
            <color indexed="81"/>
            <rFont val="Tahoma"/>
            <family val="2"/>
          </rPr>
          <t>Total Downtime</t>
        </r>
      </text>
    </comment>
    <comment ref="W111" authorId="0" shapeId="0" xr:uid="{6BE07EB1-CC1C-4F70-AD75-F935919404A5}">
      <text>
        <r>
          <rPr>
            <b/>
            <sz val="9"/>
            <color indexed="81"/>
            <rFont val="Tahoma"/>
            <family val="2"/>
          </rPr>
          <t xml:space="preserve">Eduardo Cysne:
</t>
        </r>
        <r>
          <rPr>
            <sz val="9"/>
            <color indexed="81"/>
            <rFont val="Tahoma"/>
            <family val="2"/>
          </rPr>
          <t>Seconds to produce a product</t>
        </r>
      </text>
    </comment>
    <comment ref="Q114" authorId="0" shapeId="0" xr:uid="{8B487DDB-65EA-4F0A-8677-C047FD7812E8}">
      <text>
        <r>
          <rPr>
            <b/>
            <sz val="9"/>
            <color indexed="81"/>
            <rFont val="Tahoma"/>
            <family val="2"/>
          </rPr>
          <t xml:space="preserve">Eduardo Cysne:
</t>
        </r>
        <r>
          <rPr>
            <sz val="9"/>
            <color indexed="81"/>
            <rFont val="Tahoma"/>
            <family val="2"/>
          </rPr>
          <t xml:space="preserve">named used for kpis references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<sst xmlns="http://schemas.openxmlformats.org/spreadsheetml/2006/main" count="2244" uniqueCount="572">
  <si>
    <t>OEE</t>
  </si>
  <si>
    <t>Downtime</t>
  </si>
  <si>
    <t>X</t>
  </si>
  <si>
    <t>Área</t>
  </si>
  <si>
    <t>Carro</t>
  </si>
  <si>
    <t>Peça</t>
  </si>
  <si>
    <t>Linha</t>
  </si>
  <si>
    <t>Versão</t>
  </si>
  <si>
    <t>Peça / Versão</t>
  </si>
  <si>
    <t>Peça / Linha</t>
  </si>
  <si>
    <t>Linhas permitidas por peça</t>
  </si>
  <si>
    <t>Versões permitidas por peça</t>
  </si>
  <si>
    <t>Status:</t>
  </si>
  <si>
    <t>LINE 1</t>
  </si>
  <si>
    <t>LINE 2</t>
  </si>
  <si>
    <t>LINE 3</t>
  </si>
  <si>
    <t>LINE 4</t>
  </si>
  <si>
    <t>M</t>
  </si>
  <si>
    <t>Tempo (min)</t>
  </si>
  <si>
    <t>Falhas</t>
  </si>
  <si>
    <t>Total</t>
  </si>
  <si>
    <t>Scrap Rate [%]</t>
  </si>
  <si>
    <t>FTTQ</t>
  </si>
  <si>
    <t>A</t>
  </si>
  <si>
    <t>B</t>
  </si>
  <si>
    <t>-</t>
  </si>
  <si>
    <t>C</t>
  </si>
  <si>
    <t>Team Leader:</t>
  </si>
  <si>
    <t>pecas_permitidas_sol</t>
  </si>
  <si>
    <t>versoes_permitidas_sol</t>
  </si>
  <si>
    <t>linhas_permitidas_sol</t>
  </si>
  <si>
    <t>Cycle Time</t>
  </si>
  <si>
    <t>Versões Permitidas</t>
  </si>
  <si>
    <t>Spare?</t>
  </si>
  <si>
    <t/>
  </si>
  <si>
    <t>Dados A</t>
  </si>
  <si>
    <t>Dados B</t>
  </si>
  <si>
    <t>Dados E</t>
  </si>
  <si>
    <t>Dados F</t>
  </si>
  <si>
    <t>Dados C</t>
  </si>
  <si>
    <t>Click in the Option "Enable Content" to see access the spreadsheet content</t>
  </si>
  <si>
    <t>UNABLED MACROS!</t>
  </si>
  <si>
    <t>Shift A</t>
  </si>
  <si>
    <t>Shift B</t>
  </si>
  <si>
    <t>Shift C</t>
  </si>
  <si>
    <t>Shift D</t>
  </si>
  <si>
    <t>Worker 1</t>
  </si>
  <si>
    <t>Worker 2</t>
  </si>
  <si>
    <t>Worker 3</t>
  </si>
  <si>
    <t>Worker 4</t>
  </si>
  <si>
    <t>Worker 5</t>
  </si>
  <si>
    <t>Worker 6</t>
  </si>
  <si>
    <t>Worker 7</t>
  </si>
  <si>
    <t>Worker 8</t>
  </si>
  <si>
    <t>Worker 9</t>
  </si>
  <si>
    <t>Worker 10</t>
  </si>
  <si>
    <t>Worker 11</t>
  </si>
  <si>
    <t>Worker 12</t>
  </si>
  <si>
    <t>Worker 13</t>
  </si>
  <si>
    <t>Worker 14</t>
  </si>
  <si>
    <t>Worker 15</t>
  </si>
  <si>
    <t>Worker 16</t>
  </si>
  <si>
    <t>Worker 17</t>
  </si>
  <si>
    <t>Worker 18</t>
  </si>
  <si>
    <t>Worker 19</t>
  </si>
  <si>
    <t>Worker 20</t>
  </si>
  <si>
    <t>Worker 21</t>
  </si>
  <si>
    <t>Worker 22</t>
  </si>
  <si>
    <t>Worker 23</t>
  </si>
  <si>
    <t>Worker 24</t>
  </si>
  <si>
    <t>Worker 25</t>
  </si>
  <si>
    <t>Worker 26</t>
  </si>
  <si>
    <t>Worker 27</t>
  </si>
  <si>
    <t>Worker 28</t>
  </si>
  <si>
    <t>Worker 29</t>
  </si>
  <si>
    <t>Worker 30</t>
  </si>
  <si>
    <t>Worker 31</t>
  </si>
  <si>
    <t>Worker 32</t>
  </si>
  <si>
    <t>Worker 33</t>
  </si>
  <si>
    <t>Worker 34</t>
  </si>
  <si>
    <t>Worker 35</t>
  </si>
  <si>
    <t>Worker 36</t>
  </si>
  <si>
    <t>Worker 37</t>
  </si>
  <si>
    <t>Worker 38</t>
  </si>
  <si>
    <t>Worker 39</t>
  </si>
  <si>
    <t>Worker 40</t>
  </si>
  <si>
    <t>Worker 41</t>
  </si>
  <si>
    <t>Worker 42</t>
  </si>
  <si>
    <t>Worker 43</t>
  </si>
  <si>
    <t>Worker 44</t>
  </si>
  <si>
    <t>Worker 45</t>
  </si>
  <si>
    <t>Worker 46</t>
  </si>
  <si>
    <t>Worker 47</t>
  </si>
  <si>
    <t>Worker 48</t>
  </si>
  <si>
    <t>Worker 49</t>
  </si>
  <si>
    <t>Worker 50</t>
  </si>
  <si>
    <t>Worker 51</t>
  </si>
  <si>
    <t>Worker 52</t>
  </si>
  <si>
    <t>Worker 53</t>
  </si>
  <si>
    <t>Worker 54</t>
  </si>
  <si>
    <t>Worker 55</t>
  </si>
  <si>
    <t>Worker 56</t>
  </si>
  <si>
    <t>Worker 57</t>
  </si>
  <si>
    <t>Worker 58</t>
  </si>
  <si>
    <t>Worker 59</t>
  </si>
  <si>
    <t>Worker 60</t>
  </si>
  <si>
    <t>Worker 61</t>
  </si>
  <si>
    <t>Worker 62</t>
  </si>
  <si>
    <t>Worker 63</t>
  </si>
  <si>
    <t>Worker 64</t>
  </si>
  <si>
    <t>Worker 65</t>
  </si>
  <si>
    <t>Worker 66</t>
  </si>
  <si>
    <t>Worker 67</t>
  </si>
  <si>
    <t>Worker 68</t>
  </si>
  <si>
    <t>Worker 69</t>
  </si>
  <si>
    <t>Worker 70</t>
  </si>
  <si>
    <t>Worker 71</t>
  </si>
  <si>
    <t>Worker 72</t>
  </si>
  <si>
    <t>Worker 73</t>
  </si>
  <si>
    <t>Worker 74</t>
  </si>
  <si>
    <t>Worker 75</t>
  </si>
  <si>
    <t>Worker 76</t>
  </si>
  <si>
    <t>Worker 77</t>
  </si>
  <si>
    <t>Worker 78</t>
  </si>
  <si>
    <t>Worker 79</t>
  </si>
  <si>
    <t>Worker 80</t>
  </si>
  <si>
    <t>Worker 81</t>
  </si>
  <si>
    <t>Worker 82</t>
  </si>
  <si>
    <t>Coffee Machine</t>
  </si>
  <si>
    <t>ENTRY</t>
  </si>
  <si>
    <t>OUTBOUND</t>
  </si>
  <si>
    <t>INBOUND</t>
  </si>
  <si>
    <t>OUTB.</t>
  </si>
  <si>
    <t>OUTBUND</t>
  </si>
  <si>
    <t>COFFEE</t>
  </si>
  <si>
    <t>STOCK</t>
  </si>
  <si>
    <t>Rafael Oliveira</t>
  </si>
  <si>
    <t>Diego Herrera</t>
  </si>
  <si>
    <t>Paulo Cardoso</t>
  </si>
  <si>
    <t>Luìs Correia</t>
  </si>
  <si>
    <t>André Gonçalves</t>
  </si>
  <si>
    <t>Javier Ortega</t>
  </si>
  <si>
    <t>Catarina Sousa</t>
  </si>
  <si>
    <t>Sofia Neves</t>
  </si>
  <si>
    <t>Joana Marques</t>
  </si>
  <si>
    <t>Mariana Lopes</t>
  </si>
  <si>
    <t xml:space="preserve">Leon Kowalski </t>
  </si>
  <si>
    <t>Daniel Costa</t>
  </si>
  <si>
    <t>Shifts</t>
  </si>
  <si>
    <t>lines_listings</t>
  </si>
  <si>
    <t>products_listings</t>
  </si>
  <si>
    <t>versions_listings</t>
  </si>
  <si>
    <t>General Listings</t>
  </si>
  <si>
    <t>D</t>
  </si>
  <si>
    <t>E</t>
  </si>
  <si>
    <t>F</t>
  </si>
  <si>
    <t>HUD</t>
  </si>
  <si>
    <t>MERCEDEZ GLE 53 Rear Axle</t>
  </si>
  <si>
    <t>MERCEDEZ LE 300 Coupé Rear Axle</t>
  </si>
  <si>
    <t>MERCEDEZ GLE 53 Front Axle</t>
  </si>
  <si>
    <t>MERCEDEZ LE 300 Coupé Front Axle</t>
  </si>
  <si>
    <t>MERCEDEZ GLE 53 Rear Bumper</t>
  </si>
  <si>
    <t>MERCEDEZ LE 300 Coupé Rear Bumper</t>
  </si>
  <si>
    <t>BMW X7 Rear Bumper</t>
  </si>
  <si>
    <t>BMW 420d Gran Coupé Rear Bumper</t>
  </si>
  <si>
    <t>BMW M550i xDrive Rear Bumper</t>
  </si>
  <si>
    <t>MERCEDEZ GLE 53 Front Bumper</t>
  </si>
  <si>
    <t>MERCEDEZ LE 300 Coupé Front Bumper</t>
  </si>
  <si>
    <t>BMW X7 Front Bumper</t>
  </si>
  <si>
    <t>BMW 420d Gran Coupé Front Bumper</t>
  </si>
  <si>
    <t>BMW M550i xDrive Front Bumper</t>
  </si>
  <si>
    <t>BMW X7 B-Pillar LH</t>
  </si>
  <si>
    <t>BMW X7 B-Pillar RH</t>
  </si>
  <si>
    <t>BMW 420d Gran Coupé B-Pillar LH</t>
  </si>
  <si>
    <t>BMW 420d Gran Coupé B-Pillar RH</t>
  </si>
  <si>
    <t>BMW M550i xDrive B-Pillar LH</t>
  </si>
  <si>
    <t>BMW M550i xDrive B-Pillar RH</t>
  </si>
  <si>
    <t>BMW X7 A-Pillar LH</t>
  </si>
  <si>
    <t>BMW X7 A-Pillar RH</t>
  </si>
  <si>
    <t>BMW 420d Gran Coupé A-Pillar LH</t>
  </si>
  <si>
    <t>BMW 420d Gran Coupé A-Pillar RH</t>
  </si>
  <si>
    <t>BMW M550i xDrive A-Pillar LH</t>
  </si>
  <si>
    <t>BMW M550i xDrive A-Pillar RH</t>
  </si>
  <si>
    <t>MERCEDEZ GLE 53 C-Pillar LH</t>
  </si>
  <si>
    <t>MERCEDEZ GLE 53 C-Pillar RH</t>
  </si>
  <si>
    <t>MERCEDEZ LE 300 Coupé C-Pillar LH</t>
  </si>
  <si>
    <t>MERCEDEZ LE 300 Coupé C-Pillar RH</t>
  </si>
  <si>
    <t>BMW X7 C-Pillar LH</t>
  </si>
  <si>
    <t>BMW X7 C-Pillar RH</t>
  </si>
  <si>
    <t>BMW 420d Gran Coupé C-Pillar LH</t>
  </si>
  <si>
    <t>BMW 420d Gran Coupé C-Pillar RH</t>
  </si>
  <si>
    <t>BMW M550i xDrive C-Pillar LH</t>
  </si>
  <si>
    <t>BMW M550i xDrive C-Pillar RH</t>
  </si>
  <si>
    <t>MERCEDEZ GLE 53 IP LHD</t>
  </si>
  <si>
    <t>MERCEDEZ GLE 53 IP RHD</t>
  </si>
  <si>
    <t>MERCEDEZ LE 300 Coupé IP LHD</t>
  </si>
  <si>
    <t>MERCEDEZ LE 300 Coupé IP RHD</t>
  </si>
  <si>
    <t>BMW X7 IP LHD</t>
  </si>
  <si>
    <t>BMW X7 IP RHD</t>
  </si>
  <si>
    <t>BMW 420d Gran Coupé IP LHD</t>
  </si>
  <si>
    <t>BMW 420d Gran Coupé IP RHD</t>
  </si>
  <si>
    <t>BMW M550i xDrive IP LHD</t>
  </si>
  <si>
    <t>BMW M550i xDrive IP RHD</t>
  </si>
  <si>
    <t>PLANT LOMPSTAR SHIP 3 - Welding</t>
  </si>
  <si>
    <t>PLANT LOMPSTAR SHIP 2 - JIT</t>
  </si>
  <si>
    <t>PLANT LOMPSTAR SHIP 1 - JIT</t>
  </si>
  <si>
    <t>INDIRECT("$CR$19:$" &amp; SUBSTITUTE(ADDRESS(1;COLUMNS(TRANSPOSE(tbl_products_lines)) + 96;4);1;"") &amp; "$26");</t>
  </si>
  <si>
    <t>Dados D</t>
  </si>
  <si>
    <t>MERCEDEZ GLE 53 Rear Axle LINE 2</t>
  </si>
  <si>
    <t>MERCEDEZ LE 300 Coupé Rear Axle LINE 2</t>
  </si>
  <si>
    <t>MERCEDEZ GLE 53 Front Axle LINE 1</t>
  </si>
  <si>
    <t>MERCEDEZ LE 300 Coupé Front Axle LINE 1</t>
  </si>
  <si>
    <t>MERCEDEZ GLE 53 Rear Bumper LINE 1</t>
  </si>
  <si>
    <t>MERCEDEZ LE 300 Coupé Rear Bumper LINE 3</t>
  </si>
  <si>
    <t>BMW X7 Rear Bumper LINE 1</t>
  </si>
  <si>
    <t>BMW 420d Gran Coupé Rear Bumper LINE 3</t>
  </si>
  <si>
    <t>BMW M550i xDrive Rear Bumper LINE 3</t>
  </si>
  <si>
    <t>MERCEDEZ GLE 53 Front Bumper LINE 2</t>
  </si>
  <si>
    <t>MERCEDEZ LE 300 Coupé Front Bumper LINE 4</t>
  </si>
  <si>
    <t>BMW M550i xDrive Front Bumper LINE 4</t>
  </si>
  <si>
    <t>BMW X7 Front Bumper LINE 2</t>
  </si>
  <si>
    <t>BMW 420d Gran Coupé Front Bumper LINE 4</t>
  </si>
  <si>
    <t>BMW X7 B-Pillar LH LINE 3</t>
  </si>
  <si>
    <t>BMW X7 B-Pillar RH LINE 3</t>
  </si>
  <si>
    <t>BMW 420d Gran Coupé B-Pillar LH LINE 3</t>
  </si>
  <si>
    <t>BMW 420d Gran Coupé B-Pillar RH LINE 3</t>
  </si>
  <si>
    <t>BMW M550i xDrive B-Pillar LH LINE 3</t>
  </si>
  <si>
    <t>BMW M550i xDrive B-Pillar RH LINE 3</t>
  </si>
  <si>
    <t>BMW X7 A-Pillar LH LINE 2</t>
  </si>
  <si>
    <t>BMW X7 A-Pillar RH LINE 2</t>
  </si>
  <si>
    <t>BMW 420d Gran Coupé A-Pillar LH LINE 2</t>
  </si>
  <si>
    <t>BMW 420d Gran Coupé A-Pillar RH LINE 4</t>
  </si>
  <si>
    <t>BMW M550i xDrive A-Pillar LH LINE 2</t>
  </si>
  <si>
    <t>BMW 420d Gran Coupé A-Pillar RH LINE 2</t>
  </si>
  <si>
    <t>BMW M550i xDrive A-Pillar RH LINE 2</t>
  </si>
  <si>
    <t>MERCEDEZ GLE 53 C-Pillar LH LINE 2</t>
  </si>
  <si>
    <t>MERCEDEZ GLE 53 C-Pillar RH LINE 1</t>
  </si>
  <si>
    <t>MERCEDEZ LE 300 Coupé C-Pillar LH LINE 2</t>
  </si>
  <si>
    <t>MERCEDEZ LE 300 Coupé C-Pillar RH LINE 1</t>
  </si>
  <si>
    <t>BMW X7 C-Pillar LH LINE 2</t>
  </si>
  <si>
    <t>BMW X7 C-Pillar RH LINE 1</t>
  </si>
  <si>
    <t>BMW 420d Gran Coupé C-Pillar LH LINE 2</t>
  </si>
  <si>
    <t>BMW 420d Gran Coupé C-Pillar RH LINE 1</t>
  </si>
  <si>
    <t>BMW M550i xDrive C-Pillar LH LINE 2</t>
  </si>
  <si>
    <t>BMW M550i xDrive C-Pillar RH LINE 1</t>
  </si>
  <si>
    <t>MERCEDEZ GLE 53 IP LHD LINE 1</t>
  </si>
  <si>
    <t>MERCEDEZ GLE 53 IP RHD LINE 2</t>
  </si>
  <si>
    <t>MERCEDEZ LE 300 Coupé IP LHD LINE 1</t>
  </si>
  <si>
    <t>MERCEDEZ LE 300 Coupé IP RHD LINE 2</t>
  </si>
  <si>
    <t>BMW X7 IP LHD LINE 2</t>
  </si>
  <si>
    <t>BMW X7 IP RHD LINE 1</t>
  </si>
  <si>
    <t>BMW 420d Gran Coupé IP LHD LINE 2</t>
  </si>
  <si>
    <t>BMW 420d Gran Coupé IP RHD LINE 1</t>
  </si>
  <si>
    <t>BMW M550i xDrive IP LHD LINE 2</t>
  </si>
  <si>
    <t>BMW M550i xDrive IP RHD LINE 1</t>
  </si>
  <si>
    <t>BMW X7 A-Pillar LH LINE 4</t>
  </si>
  <si>
    <t>BMW X7 A-Pillar RH LINE 4</t>
  </si>
  <si>
    <t>BMW 420d Gran Coupé A-Pillar LH LINE 4</t>
  </si>
  <si>
    <t>BMW M550i xDrive A-Pillar LH LINE 4</t>
  </si>
  <si>
    <t>BMW M550i xDrive A-Pillar RH LINE 4</t>
  </si>
  <si>
    <t>MERCEDEZ GLE 53 C-Pillar LH LINE 4</t>
  </si>
  <si>
    <t>MERCEDEZ GLE 53 C-Pillar RH LINE 3</t>
  </si>
  <si>
    <t>MERCEDEZ LE 300 Coupé C-Pillar LH LINE 4</t>
  </si>
  <si>
    <t>MERCEDEZ LE 300 Coupé C-Pillar RH LINE 3</t>
  </si>
  <si>
    <t>Production Status</t>
  </si>
  <si>
    <t>breakdown_analysis</t>
  </si>
  <si>
    <t>bmw_m550i_xdrive_b-pillar_lh_line_3_</t>
  </si>
  <si>
    <t>This document allows the recording of relevant information about production (e.g.: parts produced, scrap, stoppages and other occurrences) throughout each production shift.
The information entered is reliable and the responsibility of the Team Leader, with the aim of analysing the overall performance of each production line and the subsequent improvement process.</t>
  </si>
  <si>
    <t>General Information</t>
  </si>
  <si>
    <t>Report Generator</t>
  </si>
  <si>
    <t>Eletrical_Breakdown</t>
  </si>
  <si>
    <t>Mechanical_Breakdown</t>
  </si>
  <si>
    <t>Welding_Failure</t>
  </si>
  <si>
    <t>Hydraulic_Failure</t>
  </si>
  <si>
    <t>Pneumatic_Failure</t>
  </si>
  <si>
    <t>Conveyor_Stoppage</t>
  </si>
  <si>
    <t>Robot_Fault</t>
  </si>
  <si>
    <t>Tooling_Change</t>
  </si>
  <si>
    <t>Planned_Maintenance</t>
  </si>
  <si>
    <t>Unplanned_Maintenance</t>
  </si>
  <si>
    <t>Quality_Hold</t>
  </si>
  <si>
    <t>Rework_Stoppage</t>
  </si>
  <si>
    <t>Material_Shortage</t>
  </si>
  <si>
    <t>Material_Defect</t>
  </si>
  <si>
    <t>Changeover</t>
  </si>
  <si>
    <t>Logistics_Delay</t>
  </si>
  <si>
    <t>IT_System_Failure</t>
  </si>
  <si>
    <t>Accident_Safety_Stop</t>
  </si>
  <si>
    <t>Operator_Absence</t>
  </si>
  <si>
    <t>Power_Outage</t>
  </si>
  <si>
    <t>PLC_Fault</t>
  </si>
  <si>
    <t>Sensor_Failure</t>
  </si>
  <si>
    <t>Actuator_Failure</t>
  </si>
  <si>
    <t>Wiring_Connection_Fault</t>
  </si>
  <si>
    <t>Bearing_Failure</t>
  </si>
  <si>
    <t>Component_Seizure</t>
  </si>
  <si>
    <t>Worn_Tooling</t>
  </si>
  <si>
    <t>Structural_Crack</t>
  </si>
  <si>
    <t>Fastener_Failure</t>
  </si>
  <si>
    <t>Electrode_Wear</t>
  </si>
  <si>
    <t>Arc_Instability</t>
  </si>
  <si>
    <t>Weld_Porosity</t>
  </si>
  <si>
    <t>Wire_Feed_Failure</t>
  </si>
  <si>
    <t>Fixture_Misalignment</t>
  </si>
  <si>
    <t>Spatter_Contamination</t>
  </si>
  <si>
    <t>Hydraulic_Leak</t>
  </si>
  <si>
    <t>Pressure_Loss</t>
  </si>
  <si>
    <t>Pump_Failure</t>
  </si>
  <si>
    <t>Valve_Malfunction</t>
  </si>
  <si>
    <t>Air_Leak</t>
  </si>
  <si>
    <t>Valve_Failure</t>
  </si>
  <si>
    <t>Gripper_Malfunction</t>
  </si>
  <si>
    <t>Clamp_Failure</t>
  </si>
  <si>
    <t>Pressure_Drop</t>
  </si>
  <si>
    <t>Filter_Blockage</t>
  </si>
  <si>
    <t>Cylinder_Failure</t>
  </si>
  <si>
    <t>Belt_Jam</t>
  </si>
  <si>
    <t>Roller_Failure</t>
  </si>
  <si>
    <t>Drive_Motor_Fault</t>
  </si>
  <si>
    <t>Collision_Stop</t>
  </si>
  <si>
    <t>Teach_Pendant_Alarm</t>
  </si>
  <si>
    <t>Program_Error</t>
  </si>
  <si>
    <t>Servo_Fault</t>
  </si>
  <si>
    <t>Vision_System_Failure</t>
  </si>
  <si>
    <t>Planned_Tool_Swap</t>
  </si>
  <si>
    <t>Unplanned_Tool_Swap</t>
  </si>
  <si>
    <t>Die_Change</t>
  </si>
  <si>
    <t>Preventive_Inspection</t>
  </si>
  <si>
    <t>Lubrication_Service</t>
  </si>
  <si>
    <t>Calibration</t>
  </si>
  <si>
    <t>Emergency_Repair</t>
  </si>
  <si>
    <t>Breakdown_Repair</t>
  </si>
  <si>
    <t>External_Technician_Call</t>
  </si>
  <si>
    <t>Spare_Part_Wait</t>
  </si>
  <si>
    <t>NCR_Investigation</t>
  </si>
  <si>
    <t>Customer_Complaint_Hold</t>
  </si>
  <si>
    <t>First_Article_Inspection</t>
  </si>
  <si>
    <t>Dimensional_Failure</t>
  </si>
  <si>
    <t>Visual_Defect_Rework</t>
  </si>
  <si>
    <t>Dimensional_Rework</t>
  </si>
  <si>
    <t>Assembly_Error_Rework</t>
  </si>
  <si>
    <t>Raw_Material_Shortage</t>
  </si>
  <si>
    <t>Sub-Component_Shortage</t>
  </si>
  <si>
    <t>Surface_Defect</t>
  </si>
  <si>
    <t>Dimensional_Non-Conformance</t>
  </si>
  <si>
    <t>Wrong_Material_Received</t>
  </si>
  <si>
    <t>Product_Switch</t>
  </si>
  <si>
    <t>Fixture_Change</t>
  </si>
  <si>
    <t>Programme_Change</t>
  </si>
  <si>
    <t>Forklift_Unavailable</t>
  </si>
  <si>
    <t>Dock_Congestion</t>
  </si>
  <si>
    <t>Internal_Transport_Delay</t>
  </si>
  <si>
    <t>MES_Outage</t>
  </si>
  <si>
    <t>ERP_Outage</t>
  </si>
  <si>
    <t>Network_Failure</t>
  </si>
  <si>
    <t>Work_Accident</t>
  </si>
  <si>
    <t>Near-Miss</t>
  </si>
  <si>
    <t>Equipment_Safety_Fault</t>
  </si>
  <si>
    <t>Absenteeism</t>
  </si>
  <si>
    <t>Insufficient_Staffing</t>
  </si>
  <si>
    <t>IP RH BMW LINE 1</t>
  </si>
  <si>
    <t>IP LH BMW LINE 2</t>
  </si>
  <si>
    <t>IP LH MERCEDEZ LINE 1</t>
  </si>
  <si>
    <t>IP RH MERCEDEZ LINE 2</t>
  </si>
  <si>
    <t>A-PILLAR LH/RH BMW LINE 2</t>
  </si>
  <si>
    <t>C-PILLAR RH MERCEDEZ LINE 3</t>
  </si>
  <si>
    <t>C-PILLAR LH MERCEDEZ LINE 4</t>
  </si>
  <si>
    <t>C-PILLAR RH BMW LINE 1</t>
  </si>
  <si>
    <t>C-PILLAR LH BMW LINE 2</t>
  </si>
  <si>
    <t>A-PILLAR LH/RH BMW LINE 4</t>
  </si>
  <si>
    <t>C-PILLAR LH MERCEDEZ LINE 2</t>
  </si>
  <si>
    <t>B-PILLAR LH/RH MERCEDEZ LINE 3</t>
  </si>
  <si>
    <t>WA_110</t>
  </si>
  <si>
    <t>AS_120</t>
  </si>
  <si>
    <t>FT_130</t>
  </si>
  <si>
    <t>VT_140</t>
  </si>
  <si>
    <t>RK_150</t>
  </si>
  <si>
    <t>WA_210</t>
  </si>
  <si>
    <t>AS_220</t>
  </si>
  <si>
    <t>FT_230</t>
  </si>
  <si>
    <t>VT_240</t>
  </si>
  <si>
    <t>RK_250</t>
  </si>
  <si>
    <t>WA_310</t>
  </si>
  <si>
    <t>AS_320</t>
  </si>
  <si>
    <t>FT_330</t>
  </si>
  <si>
    <t>VT_340</t>
  </si>
  <si>
    <t>RK_350</t>
  </si>
  <si>
    <t>WA_410</t>
  </si>
  <si>
    <t>AS_420</t>
  </si>
  <si>
    <t>FT_430</t>
  </si>
  <si>
    <t>VT_440</t>
  </si>
  <si>
    <t>RK_450</t>
  </si>
  <si>
    <t>LS_510</t>
  </si>
  <si>
    <t>RW_520</t>
  </si>
  <si>
    <t>GE_530</t>
  </si>
  <si>
    <t>QC_540</t>
  </si>
  <si>
    <t>US_550</t>
  </si>
  <si>
    <t>LS_610</t>
  </si>
  <si>
    <t>RW_620</t>
  </si>
  <si>
    <t>MW_630</t>
  </si>
  <si>
    <t>GE_640</t>
  </si>
  <si>
    <t>VT_650</t>
  </si>
  <si>
    <t>LS_710</t>
  </si>
  <si>
    <t>RW_720</t>
  </si>
  <si>
    <t>GE_730</t>
  </si>
  <si>
    <t>QC_740</t>
  </si>
  <si>
    <t>US_750</t>
  </si>
  <si>
    <t>LS_810</t>
  </si>
  <si>
    <t>RW_820</t>
  </si>
  <si>
    <t>GE_830</t>
  </si>
  <si>
    <t>QC_840</t>
  </si>
  <si>
    <t>US_850</t>
  </si>
  <si>
    <t>LS_910</t>
  </si>
  <si>
    <t>RW_920</t>
  </si>
  <si>
    <t>MW_930</t>
  </si>
  <si>
    <t>GE_940</t>
  </si>
  <si>
    <t>VT_950</t>
  </si>
  <si>
    <t>LS_A10</t>
  </si>
  <si>
    <t>RW_A20</t>
  </si>
  <si>
    <t>MW_A30</t>
  </si>
  <si>
    <t>GE_A40</t>
  </si>
  <si>
    <t>VT_A50</t>
  </si>
  <si>
    <t>LS_B10</t>
  </si>
  <si>
    <t>RW_B20</t>
  </si>
  <si>
    <t>GE_B30</t>
  </si>
  <si>
    <t>HS_B40</t>
  </si>
  <si>
    <t>US_B50</t>
  </si>
  <si>
    <t>LS_C10</t>
  </si>
  <si>
    <t>RW_C20</t>
  </si>
  <si>
    <t>GE_C30</t>
  </si>
  <si>
    <t>QC_C40</t>
  </si>
  <si>
    <t>US_C50</t>
  </si>
  <si>
    <t>LS_D10</t>
  </si>
  <si>
    <t>RW_D20</t>
  </si>
  <si>
    <t>GE_D30</t>
  </si>
  <si>
    <t>QC_D40</t>
  </si>
  <si>
    <t>US_D50</t>
  </si>
  <si>
    <t>LS_E10</t>
  </si>
  <si>
    <t>RW_E20</t>
  </si>
  <si>
    <t>MW_E30</t>
  </si>
  <si>
    <t>GE_E40</t>
  </si>
  <si>
    <t>VT_E50</t>
  </si>
  <si>
    <t>Sub_Assembly_Table</t>
  </si>
  <si>
    <t>Assembly_Robot</t>
  </si>
  <si>
    <t>Electrical_Test_Bench</t>
  </si>
  <si>
    <t>Camera_System</t>
  </si>
  <si>
    <t>Rework_Table</t>
  </si>
  <si>
    <t>Loading_Handling</t>
  </si>
  <si>
    <t>Welding_Robot_1</t>
  </si>
  <si>
    <t>CMM_Table</t>
  </si>
  <si>
    <t>Unloading_Handling</t>
  </si>
  <si>
    <t>Welding_Table</t>
  </si>
  <si>
    <t>Hemming_Robot</t>
  </si>
  <si>
    <t>Handling_Unit</t>
  </si>
  <si>
    <t>Conveyor_Unit</t>
  </si>
  <si>
    <t>Pneumatic_Test_Bench</t>
  </si>
  <si>
    <t>Inspection_Table</t>
  </si>
  <si>
    <t>Turning_Table</t>
  </si>
  <si>
    <t>Welding_Robot_2</t>
  </si>
  <si>
    <t>Fixture_Table</t>
  </si>
  <si>
    <t>Leak_Test_Unit</t>
  </si>
  <si>
    <t>Light_Panel</t>
  </si>
  <si>
    <t>Part_Rack</t>
  </si>
  <si>
    <t>Handling_Robot</t>
  </si>
  <si>
    <t>Component_Rack</t>
  </si>
  <si>
    <t>Screwdriving_Unit</t>
  </si>
  <si>
    <t>Welding_Fixture</t>
  </si>
  <si>
    <t>Welding_Torch_Unit</t>
  </si>
  <si>
    <t>Welding data Team 1</t>
  </si>
  <si>
    <t>Welding Data Team 2</t>
  </si>
  <si>
    <t>Shift</t>
  </si>
  <si>
    <t>Team Leaders</t>
  </si>
  <si>
    <t>Team Leader</t>
  </si>
  <si>
    <t>Team1</t>
  </si>
  <si>
    <t>Shift (A, B, C):</t>
  </si>
  <si>
    <t>Shift (M, A, E):</t>
  </si>
  <si>
    <t>WEL</t>
  </si>
  <si>
    <t>Date:</t>
  </si>
  <si>
    <t>Team:</t>
  </si>
  <si>
    <t>Mercedez</t>
  </si>
  <si>
    <t>BMW</t>
  </si>
  <si>
    <t>Informations</t>
  </si>
  <si>
    <t>Product Informations</t>
  </si>
  <si>
    <t>Lines Listings</t>
  </si>
  <si>
    <t>Lines</t>
  </si>
  <si>
    <t>Lines Checking</t>
  </si>
  <si>
    <t>Breakdowns and Stations Informations</t>
  </si>
  <si>
    <t>Breakdown Information</t>
  </si>
  <si>
    <t>Breakdown Data</t>
  </si>
  <si>
    <t>Worker 83</t>
  </si>
  <si>
    <t>Worker 84</t>
  </si>
  <si>
    <t>Worker 85</t>
  </si>
  <si>
    <t>Worker 86</t>
  </si>
  <si>
    <t>Worker 87</t>
  </si>
  <si>
    <t>Worker 88</t>
  </si>
  <si>
    <t>Worker 89</t>
  </si>
  <si>
    <t>Worker 90</t>
  </si>
  <si>
    <t>Worker 91</t>
  </si>
  <si>
    <t>Worker 92</t>
  </si>
  <si>
    <t>Worker 93</t>
  </si>
  <si>
    <t>Presences Control:</t>
  </si>
  <si>
    <t>Products General Informations</t>
  </si>
  <si>
    <t>Efficiency</t>
  </si>
  <si>
    <t>Shift:</t>
  </si>
  <si>
    <t>NOK Parts</t>
  </si>
  <si>
    <t># of Workers</t>
  </si>
  <si>
    <t>Name for KPIs</t>
  </si>
  <si>
    <t>Productivity (PPLH)</t>
  </si>
  <si>
    <t>Reworked Parts</t>
  </si>
  <si>
    <t>MERCEDEZ GLE 580 Rear Bumper LINE 1</t>
  </si>
  <si>
    <t>MERCEDEZ GLE 580 Rear Axle</t>
  </si>
  <si>
    <t>MERCEDEZ GLE 580 Front Axle</t>
  </si>
  <si>
    <t>MERCEDEZ GLE 580 Rear Bumper</t>
  </si>
  <si>
    <t>MERCEDEZ GLE 580 Front Bumper</t>
  </si>
  <si>
    <t>MERCEDEZ GLE 580 C-Pillar LH</t>
  </si>
  <si>
    <t>MERCEDEZ GLE 580 C-Pillar RH</t>
  </si>
  <si>
    <t>MERCEDEZ GLE 580 IP LHD</t>
  </si>
  <si>
    <t>MERCEDEZ GLE 580 IP RHD</t>
  </si>
  <si>
    <t>MERCEDEZ GLE 580 Rear Axle LINE 2</t>
  </si>
  <si>
    <t>MERCEDEZ GLE 580 Front Axle LINE 1</t>
  </si>
  <si>
    <t>MERCEDEZ GLE 580 Front Bumper LINE 2</t>
  </si>
  <si>
    <t>MERCEDEZ GLE 580 C-Pillar LH LINE 2</t>
  </si>
  <si>
    <t>MERCEDEZ GLE 580 C-Pillar RH LINE 1</t>
  </si>
  <si>
    <t>MERCEDEZ GLE 580 IP LHD LINE 1</t>
  </si>
  <si>
    <t>MERCEDEZ GLE 580 IP RHD LINE 2</t>
  </si>
  <si>
    <t>MERCEDEZ GLE 580 C-Pillar LH LINE 4</t>
  </si>
  <si>
    <t>MERCEDEZ GLE 580 C-Pillar RH LINE 3</t>
  </si>
  <si>
    <t>Break</t>
  </si>
  <si>
    <t>No_Production</t>
  </si>
  <si>
    <t>REAR BUMPER MERCEDEZ LINE 1</t>
  </si>
  <si>
    <t>Working Stations</t>
  </si>
  <si>
    <t>Production per Hour</t>
  </si>
  <si>
    <t>Hour</t>
  </si>
  <si>
    <t>Unplanned
Downtimes</t>
  </si>
  <si>
    <t>Planned
Downtimes</t>
  </si>
  <si>
    <t>Equipament</t>
  </si>
  <si>
    <t>Breakdown</t>
  </si>
  <si>
    <t>Subcode</t>
  </si>
  <si>
    <t>Breakdown Description</t>
  </si>
  <si>
    <t>Production Report</t>
  </si>
  <si>
    <t>More data about product specifity and production status. 
Not relevant for this Data Analytics/Engineering project</t>
  </si>
  <si>
    <t>Morning</t>
  </si>
  <si>
    <t>Due to excess of manual work, only two names will retrieve correct reports. They are:
MERCEDEZ GLE 580 REAR BUMPER LINE 1 Versao A
BMW M550i xDrive Rear Bumper LINE 3 Versão B</t>
  </si>
  <si>
    <t>asdasdad</t>
  </si>
  <si>
    <t>ID</t>
  </si>
  <si>
    <t>date</t>
  </si>
  <si>
    <t>line</t>
  </si>
  <si>
    <t>schedule</t>
  </si>
  <si>
    <t>unplanned_stoppages</t>
  </si>
  <si>
    <t>planned_stoppages</t>
  </si>
  <si>
    <t>work_station</t>
  </si>
  <si>
    <t>equipment</t>
  </si>
  <si>
    <t>failure_type</t>
  </si>
  <si>
    <t>sub_code</t>
  </si>
  <si>
    <t>failure_description</t>
  </si>
  <si>
    <t>05012026 Shift C.xlsmCTRL MERCEDEZ GLE 580 REAR BUMP</t>
  </si>
  <si>
    <t>CTRL MERCEDEZ GLE 580 REAR BUMP</t>
  </si>
  <si>
    <t>shift</t>
  </si>
  <si>
    <t>team_leader</t>
  </si>
  <si>
    <t>num_operators</t>
  </si>
  <si>
    <t>total_expected_output</t>
  </si>
  <si>
    <t>total_produced</t>
  </si>
  <si>
    <t>nok_parts</t>
  </si>
  <si>
    <t>reworked_parts</t>
  </si>
  <si>
    <t>accidents</t>
  </si>
  <si>
    <t>near_misses</t>
  </si>
  <si>
    <t>customer_complaints</t>
  </si>
  <si>
    <t>observations</t>
  </si>
  <si>
    <t>version</t>
  </si>
  <si>
    <t>cycle_time</t>
  </si>
  <si>
    <t>morning</t>
  </si>
  <si>
    <t>LUÌS CORREIA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</si>
</sst>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h:mm;@"/>
    <numFmt numFmtId="165" formatCode="0.0"/>
    <numFmt numFmtId="166" formatCode="0.0%"/>
    <numFmt numFmtId="167" formatCode="[$-F400]h:mm:ss\ AM/PM"/>
  </numFmts>
  <fonts count="45" x14ac:knownFonts="1">
    <font>
      <sz val="10"/>
      <color theme="1"/>
      <name val="Arial"/>
      <family val="2"/>
    </font>
    <font>
      <sz val="10"/>
      <name val="Arial"/>
      <family val="2"/>
    </font>
    <font>
      <sz val="8"/>
      <name val="Arial"/>
      <family val="2"/>
    </font>
    <font>
      <b/>
      <sz val="10"/>
      <color theme="1"/>
      <name val="Arial"/>
      <family val="2"/>
    </font>
    <font>
      <sz val="10"/>
      <color theme="1"/>
      <name val="Roboto"/>
    </font>
    <font>
      <b/>
      <sz val="18"/>
      <color theme="0"/>
      <name val="Roboto"/>
    </font>
    <font>
      <b/>
      <sz val="11"/>
      <color theme="1"/>
      <name val="Roboto"/>
    </font>
    <font>
      <b/>
      <sz val="10"/>
      <color theme="1"/>
      <name val="Roboto"/>
    </font>
    <font>
      <b/>
      <sz val="12"/>
      <color theme="1"/>
      <name val="Roboto"/>
    </font>
    <font>
      <sz val="9"/>
      <color indexed="81"/>
      <name val="Tahoma"/>
      <family val="2"/>
    </font>
    <font>
      <b/>
      <sz val="9"/>
      <color indexed="81"/>
      <name val="Tahoma"/>
      <family val="2"/>
    </font>
    <font>
      <sz val="10"/>
      <color theme="1"/>
      <name val="Arial"/>
      <family val="2"/>
    </font>
    <font>
      <i/>
      <sz val="10"/>
      <color rgb="FF7F7F7F"/>
      <name val="Arial"/>
      <family val="2"/>
    </font>
    <font>
      <sz val="9"/>
      <name val="Arial"/>
      <family val="2"/>
    </font>
    <font>
      <b/>
      <sz val="10"/>
      <name val="Arial"/>
      <family val="2"/>
    </font>
    <font>
      <b/>
      <sz val="24"/>
      <color theme="0"/>
      <name val="Roboto"/>
    </font>
    <font>
      <sz val="11"/>
      <color theme="1"/>
      <name val="Roboto"/>
    </font>
    <font>
      <b/>
      <sz val="48"/>
      <color theme="1"/>
      <name val="Roboto"/>
    </font>
    <font>
      <b/>
      <sz val="20"/>
      <color theme="0"/>
      <name val="Roboto"/>
    </font>
    <font>
      <b/>
      <sz val="12"/>
      <color theme="0"/>
      <name val="Roboto"/>
    </font>
    <font>
      <b/>
      <sz val="10"/>
      <name val="Roboto"/>
    </font>
    <font>
      <sz val="10"/>
      <name val="Roboto"/>
    </font>
    <font>
      <sz val="9"/>
      <color theme="1"/>
      <name val="Roboto"/>
    </font>
    <font>
      <b/>
      <sz val="20"/>
      <color theme="1"/>
      <name val="Roboto"/>
    </font>
    <font>
      <i/>
      <sz val="10"/>
      <color rgb="FF7F7F7F"/>
      <name val="Roboto"/>
    </font>
    <font>
      <sz val="9"/>
      <name val="Roboto"/>
    </font>
    <font>
      <sz val="8"/>
      <name val="Roboto"/>
    </font>
    <font>
      <b/>
      <sz val="9"/>
      <name val="Roboto"/>
    </font>
    <font>
      <b/>
      <sz val="8"/>
      <name val="Roboto"/>
    </font>
    <font>
      <sz val="8"/>
      <color theme="0" tint="-0.14999847407452621"/>
      <name val="Roboto"/>
    </font>
    <font>
      <i/>
      <u/>
      <sz val="8"/>
      <name val="Roboto"/>
    </font>
    <font>
      <i/>
      <sz val="8"/>
      <name val="Roboto"/>
    </font>
    <font>
      <sz val="12"/>
      <name val="Roboto"/>
    </font>
    <font>
      <u/>
      <sz val="10"/>
      <name val="Roboto"/>
    </font>
    <font>
      <sz val="10"/>
      <color theme="0" tint="-0.14999847407452621"/>
      <name val="Roboto"/>
    </font>
    <font>
      <b/>
      <sz val="18"/>
      <name val="Roboto"/>
    </font>
    <font>
      <b/>
      <sz val="12"/>
      <name val="Roboto"/>
    </font>
    <font>
      <b/>
      <sz val="16"/>
      <color theme="0"/>
      <name val="Roboto"/>
    </font>
    <font>
      <b/>
      <sz val="24"/>
      <color rgb="FFFF0000"/>
      <name val="Arial"/>
      <family val="2"/>
    </font>
    <font>
      <b/>
      <sz val="36"/>
      <color theme="1"/>
      <name val="Roboto"/>
    </font>
    <font>
      <b/>
      <sz val="72"/>
      <color theme="0"/>
      <name val="Roboto"/>
    </font>
    <font>
      <u/>
      <sz val="10"/>
      <color theme="1"/>
      <name val="Roboto"/>
    </font>
    <font>
      <b/>
      <sz val="8"/>
      <color theme="0" tint="-0.14999847407452621"/>
      <name val="Roboto"/>
    </font>
    <font>
      <b/>
      <sz val="72"/>
      <color theme="1"/>
      <name val="Arial"/>
      <family val="2"/>
    </font>
    <font>
      <b/>
      <sz val="9"/>
      <color theme="0" tint="-0.14999847407452621"/>
      <name val="Roboto"/>
    </font>
  </fonts>
  <fills count="22">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rgb="FFFFFFCC"/>
        <bgColor rgb="FF000000"/>
      </patternFill>
    </fill>
    <fill>
      <patternFill patternType="solid">
        <fgColor rgb="FFFF0000"/>
        <bgColor indexed="64"/>
      </patternFill>
    </fill>
    <fill>
      <patternFill patternType="solid">
        <fgColor rgb="FFF9F9F9"/>
        <bgColor indexed="64"/>
      </patternFill>
    </fill>
    <fill>
      <patternFill patternType="solid">
        <fgColor rgb="FFD5FFD6"/>
        <bgColor indexed="64"/>
      </patternFill>
    </fill>
    <fill>
      <patternFill patternType="solid">
        <fgColor rgb="FFFEDADA"/>
        <bgColor indexed="64"/>
      </patternFill>
    </fill>
    <fill>
      <patternFill patternType="lightDown">
        <fgColor theme="0" tint="-4.9989318521683403E-2"/>
        <bgColor rgb="FFFFFFC9"/>
      </patternFill>
    </fill>
    <fill>
      <patternFill patternType="solid">
        <fgColor theme="4"/>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4" tint="0.79998168889431442"/>
        <bgColor indexed="64"/>
      </patternFill>
    </fill>
    <fill>
      <patternFill patternType="solid">
        <fgColor theme="4" tint="0.79998168889431442"/>
        <bgColor rgb="FF000000"/>
      </patternFill>
    </fill>
    <fill>
      <patternFill patternType="solid">
        <fgColor rgb="FF0A9E1C"/>
        <bgColor indexed="64"/>
      </patternFill>
    </fill>
  </fills>
  <borders count="99">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dashed">
        <color theme="0" tint="-0.24994659260841701"/>
      </top>
      <bottom style="dashed">
        <color theme="0" tint="-0.24994659260841701"/>
      </bottom>
      <diagonal/>
    </border>
    <border>
      <left style="thin">
        <color rgb="FF000000"/>
      </left>
      <right style="thin">
        <color rgb="FF000000"/>
      </right>
      <top style="thin">
        <color rgb="FF000000"/>
      </top>
      <bottom/>
      <diagonal/>
    </border>
    <border>
      <left style="thin">
        <color rgb="FF000000"/>
      </left>
      <right style="thin">
        <color rgb="FF000000"/>
      </right>
      <top style="dashed">
        <color theme="0" tint="-0.24994659260841701"/>
      </top>
      <bottom style="thin">
        <color rgb="FF000000"/>
      </bottom>
      <diagonal/>
    </border>
    <border>
      <left style="thin">
        <color auto="1"/>
      </left>
      <right style="thin">
        <color rgb="FF000000"/>
      </right>
      <top style="dashed">
        <color theme="0" tint="-0.24994659260841701"/>
      </top>
      <bottom style="thin">
        <color rgb="FF000000"/>
      </bottom>
      <diagonal/>
    </border>
    <border>
      <left style="thin">
        <color auto="1"/>
      </left>
      <right style="thin">
        <color rgb="FF000000"/>
      </right>
      <top style="thin">
        <color rgb="FF000000"/>
      </top>
      <bottom/>
      <diagonal/>
    </border>
    <border>
      <left style="thin">
        <color auto="1"/>
      </left>
      <right style="thin">
        <color rgb="FF000000"/>
      </right>
      <top style="thin">
        <color indexed="64"/>
      </top>
      <bottom/>
      <diagonal/>
    </border>
    <border>
      <left style="thin">
        <color auto="1"/>
      </left>
      <right style="thin">
        <color rgb="FF000000"/>
      </right>
      <top style="dashed">
        <color theme="0" tint="-0.24994659260841701"/>
      </top>
      <bottom/>
      <diagonal/>
    </border>
    <border>
      <left style="thin">
        <color rgb="FF000000"/>
      </left>
      <right style="thin">
        <color rgb="FF000000"/>
      </right>
      <top style="thin">
        <color indexed="64"/>
      </top>
      <bottom/>
      <diagonal/>
    </border>
    <border>
      <left style="thin">
        <color rgb="FF000000"/>
      </left>
      <right style="thin">
        <color rgb="FF000000"/>
      </right>
      <top style="dashed">
        <color theme="0" tint="-0.24994659260841701"/>
      </top>
      <bottom/>
      <diagonal/>
    </border>
    <border>
      <left style="thin">
        <color indexed="64"/>
      </left>
      <right/>
      <top style="medium">
        <color indexed="64"/>
      </top>
      <bottom style="dashed">
        <color theme="0" tint="-0.24994659260841701"/>
      </bottom>
      <diagonal/>
    </border>
    <border>
      <left/>
      <right style="thin">
        <color auto="1"/>
      </right>
      <top style="medium">
        <color indexed="64"/>
      </top>
      <bottom style="dashed">
        <color theme="0" tint="-0.24994659260841701"/>
      </bottom>
      <diagonal/>
    </border>
    <border>
      <left style="thin">
        <color indexed="64"/>
      </left>
      <right/>
      <top style="dashed">
        <color theme="0" tint="-0.24994659260841701"/>
      </top>
      <bottom style="dashed">
        <color theme="0" tint="-0.24994659260841701"/>
      </bottom>
      <diagonal/>
    </border>
    <border>
      <left/>
      <right style="thin">
        <color auto="1"/>
      </right>
      <top style="dashed">
        <color theme="0" tint="-0.24994659260841701"/>
      </top>
      <bottom style="dashed">
        <color theme="0" tint="-0.24994659260841701"/>
      </bottom>
      <diagonal/>
    </border>
    <border>
      <left style="thin">
        <color indexed="64"/>
      </left>
      <right/>
      <top style="dashed">
        <color theme="0" tint="-0.24994659260841701"/>
      </top>
      <bottom style="thin">
        <color auto="1"/>
      </bottom>
      <diagonal/>
    </border>
    <border>
      <left style="thin">
        <color indexed="64"/>
      </left>
      <right/>
      <top style="thin">
        <color indexed="64"/>
      </top>
      <bottom style="dashed">
        <color theme="0" tint="-0.24994659260841701"/>
      </bottom>
      <diagonal/>
    </border>
    <border>
      <left/>
      <right style="thin">
        <color indexed="64"/>
      </right>
      <top style="dashed">
        <color theme="0" tint="-0.24994659260841701"/>
      </top>
      <bottom style="thin">
        <color theme="1"/>
      </bottom>
      <diagonal/>
    </border>
    <border>
      <left/>
      <right style="thin">
        <color indexed="64"/>
      </right>
      <top style="thin">
        <color indexed="64"/>
      </top>
      <bottom style="dashed">
        <color rgb="FFBFBFBF"/>
      </bottom>
      <diagonal/>
    </border>
    <border>
      <left/>
      <right/>
      <top style="dashed">
        <color theme="0" tint="-0.24994659260841701"/>
      </top>
      <bottom style="dashed">
        <color theme="0" tint="-0.24994659260841701"/>
      </bottom>
      <diagonal/>
    </border>
    <border>
      <left/>
      <right/>
      <top style="dashed">
        <color theme="0" tint="-0.24994659260841701"/>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auto="1"/>
      </left>
      <right style="thin">
        <color auto="1"/>
      </right>
      <top style="dashed">
        <color theme="0" tint="-0.24994659260841701"/>
      </top>
      <bottom/>
      <diagonal/>
    </border>
    <border>
      <left/>
      <right/>
      <top style="medium">
        <color rgb="FF0A9E1C"/>
      </top>
      <bottom/>
      <diagonal/>
    </border>
    <border>
      <left/>
      <right/>
      <top/>
      <bottom style="medium">
        <color rgb="FF0A9E1C"/>
      </bottom>
      <diagonal/>
    </border>
    <border>
      <left style="medium">
        <color rgb="FF0A9E1C"/>
      </left>
      <right/>
      <top style="medium">
        <color rgb="FF0A9E1C"/>
      </top>
      <bottom/>
      <diagonal/>
    </border>
    <border>
      <left style="medium">
        <color rgb="FF0A9E1C"/>
      </left>
      <right/>
      <top/>
      <bottom/>
      <diagonal/>
    </border>
    <border>
      <left style="medium">
        <color rgb="FF0A9E1C"/>
      </left>
      <right/>
      <top/>
      <bottom style="medium">
        <color rgb="FF0A9E1C"/>
      </bottom>
      <diagonal/>
    </border>
    <border>
      <left/>
      <right style="medium">
        <color rgb="FF0A9E1C"/>
      </right>
      <top style="medium">
        <color rgb="FF0A9E1C"/>
      </top>
      <bottom/>
      <diagonal/>
    </border>
    <border>
      <left/>
      <right style="medium">
        <color rgb="FF0A9E1C"/>
      </right>
      <top/>
      <bottom/>
      <diagonal/>
    </border>
    <border>
      <left/>
      <right style="medium">
        <color rgb="FF0A9E1C"/>
      </right>
      <top/>
      <bottom style="medium">
        <color rgb="FF0A9E1C"/>
      </bottom>
      <diagonal/>
    </border>
  </borders>
  <cellStyleXfs count="5">
    <xf numFmtId="0" fontId="0" fillId="0" borderId="0"/>
    <xf numFmtId="0" fontId="1" fillId="0" borderId="0"/>
    <xf numFmtId="9" fontId="11" fillId="0" borderId="0" applyFont="0" applyFill="0" applyBorder="0" applyAlignment="0" applyProtection="0"/>
    <xf numFmtId="0" fontId="12" fillId="0" borderId="0" applyNumberFormat="0" applyFill="0" applyBorder="0" applyAlignment="0" applyProtection="0"/>
    <xf numFmtId="0" fontId="1" fillId="0" borderId="0"/>
  </cellStyleXfs>
  <cellXfs count="546">
    <xf numFmtId="0" fontId="0" fillId="0" borderId="0" xfId="0"/>
    <xf numFmtId="0" fontId="4" fillId="2" borderId="0" xfId="0" applyFont="1" applyFill="1"/>
    <xf numFmtId="0" fontId="4" fillId="0" borderId="2" xfId="0" applyFont="1" applyBorder="1" applyAlignment="1">
      <alignment horizontal="center" vertical="center"/>
    </xf>
    <xf numFmtId="0" fontId="4" fillId="2" borderId="0" xfId="0" applyFont="1" applyFill="1" applyAlignment="1">
      <alignment horizontal="center" vertical="center"/>
    </xf>
    <xf numFmtId="0" fontId="4" fillId="0" borderId="0" xfId="0" applyFont="1"/>
    <xf numFmtId="0" fontId="4" fillId="0" borderId="0" xfId="0" applyFont="1" applyAlignment="1">
      <alignment horizontal="center"/>
    </xf>
    <xf numFmtId="0" fontId="4" fillId="0" borderId="0" xfId="0" applyFont="1" applyAlignment="1">
      <alignment horizontal="center" vertical="center"/>
    </xf>
    <xf numFmtId="0" fontId="7" fillId="4" borderId="3" xfId="0" applyFont="1" applyFill="1" applyBorder="1" applyAlignment="1">
      <alignment horizontal="center" vertical="center"/>
    </xf>
    <xf numFmtId="0" fontId="4" fillId="4" borderId="45" xfId="0" applyFont="1" applyFill="1" applyBorder="1" applyAlignment="1">
      <alignment horizontal="center" vertical="center"/>
    </xf>
    <xf numFmtId="0" fontId="4" fillId="4" borderId="4" xfId="0" applyFont="1" applyFill="1" applyBorder="1" applyAlignment="1">
      <alignment horizontal="center" vertical="center"/>
    </xf>
    <xf numFmtId="0" fontId="4" fillId="3" borderId="0" xfId="0" applyFont="1" applyFill="1"/>
    <xf numFmtId="0" fontId="0" fillId="2" borderId="0" xfId="0" applyFill="1"/>
    <xf numFmtId="0" fontId="0" fillId="2" borderId="0" xfId="0" applyFill="1" applyAlignment="1">
      <alignment horizontal="center" vertical="center"/>
    </xf>
    <xf numFmtId="0" fontId="0" fillId="4" borderId="45" xfId="0" applyFill="1" applyBorder="1" applyAlignment="1">
      <alignment horizontal="center" vertical="center"/>
    </xf>
    <xf numFmtId="0" fontId="14" fillId="6" borderId="2" xfId="0" applyFont="1" applyFill="1" applyBorder="1" applyAlignment="1">
      <alignment horizontal="center" vertical="center"/>
    </xf>
    <xf numFmtId="0" fontId="0" fillId="4" borderId="3" xfId="0" applyFill="1" applyBorder="1" applyAlignment="1">
      <alignment horizontal="center" vertical="center"/>
    </xf>
    <xf numFmtId="0" fontId="20" fillId="5" borderId="58" xfId="0" applyFont="1" applyFill="1" applyBorder="1" applyAlignment="1">
      <alignment horizontal="center" vertical="center"/>
    </xf>
    <xf numFmtId="0" fontId="20" fillId="5" borderId="61" xfId="0" applyFont="1" applyFill="1" applyBorder="1" applyAlignment="1">
      <alignment horizontal="center" vertical="center"/>
    </xf>
    <xf numFmtId="0" fontId="20" fillId="2" borderId="0" xfId="0" applyFont="1" applyFill="1"/>
    <xf numFmtId="0" fontId="4" fillId="2" borderId="64" xfId="0" applyFont="1" applyFill="1" applyBorder="1" applyAlignment="1">
      <alignment horizontal="center" vertical="center"/>
    </xf>
    <xf numFmtId="0" fontId="4" fillId="2" borderId="62" xfId="0" applyFont="1" applyFill="1" applyBorder="1" applyAlignment="1">
      <alignment horizontal="center" vertical="center"/>
    </xf>
    <xf numFmtId="0" fontId="4" fillId="2" borderId="65" xfId="0" applyFont="1" applyFill="1" applyBorder="1" applyAlignment="1">
      <alignment horizontal="center" vertical="center"/>
    </xf>
    <xf numFmtId="0" fontId="4" fillId="2" borderId="63" xfId="0" applyFont="1" applyFill="1" applyBorder="1" applyAlignment="1">
      <alignment horizontal="center" vertical="center"/>
    </xf>
    <xf numFmtId="0" fontId="4" fillId="2" borderId="59" xfId="0" applyFont="1" applyFill="1" applyBorder="1" applyAlignment="1">
      <alignment horizontal="center" vertical="center"/>
    </xf>
    <xf numFmtId="0" fontId="21" fillId="2" borderId="65" xfId="0" applyFont="1" applyFill="1" applyBorder="1" applyAlignment="1">
      <alignment horizontal="center" vertical="center"/>
    </xf>
    <xf numFmtId="0" fontId="21" fillId="2" borderId="63" xfId="0" applyFont="1" applyFill="1" applyBorder="1" applyAlignment="1">
      <alignment horizontal="center" vertical="center"/>
    </xf>
    <xf numFmtId="0" fontId="21" fillId="2" borderId="59" xfId="0" applyFont="1" applyFill="1" applyBorder="1" applyAlignment="1">
      <alignment horizontal="center" vertical="center"/>
    </xf>
    <xf numFmtId="0" fontId="21" fillId="2" borderId="60" xfId="0" applyFont="1" applyFill="1" applyBorder="1" applyAlignment="1">
      <alignment horizontal="center" vertical="center"/>
    </xf>
    <xf numFmtId="0" fontId="22" fillId="4" borderId="66" xfId="0" applyFont="1" applyFill="1" applyBorder="1" applyAlignment="1">
      <alignment horizontal="center" vertical="center"/>
    </xf>
    <xf numFmtId="0" fontId="22" fillId="4" borderId="67" xfId="0" applyFont="1" applyFill="1" applyBorder="1" applyAlignment="1">
      <alignment horizontal="center" vertical="center"/>
    </xf>
    <xf numFmtId="0" fontId="22" fillId="4" borderId="68" xfId="0" applyFont="1" applyFill="1" applyBorder="1" applyAlignment="1">
      <alignment horizontal="center" vertical="center"/>
    </xf>
    <xf numFmtId="0" fontId="22" fillId="4" borderId="69" xfId="0" applyFont="1" applyFill="1" applyBorder="1" applyAlignment="1">
      <alignment horizontal="center" vertical="center"/>
    </xf>
    <xf numFmtId="0" fontId="7" fillId="6" borderId="56" xfId="0" applyFont="1" applyFill="1" applyBorder="1" applyAlignment="1">
      <alignment horizontal="center" vertical="center"/>
    </xf>
    <xf numFmtId="0" fontId="4" fillId="0" borderId="71" xfId="0" applyFont="1" applyBorder="1" applyAlignment="1">
      <alignment horizontal="center"/>
    </xf>
    <xf numFmtId="0" fontId="4" fillId="0" borderId="70" xfId="0" applyFont="1" applyBorder="1" applyAlignment="1">
      <alignment horizontal="center"/>
    </xf>
    <xf numFmtId="0" fontId="22" fillId="4" borderId="72" xfId="0" applyFont="1" applyFill="1" applyBorder="1" applyAlignment="1">
      <alignment horizontal="center" vertical="center"/>
    </xf>
    <xf numFmtId="0" fontId="4" fillId="9" borderId="0" xfId="0" applyFont="1" applyFill="1"/>
    <xf numFmtId="0" fontId="24" fillId="0" borderId="0" xfId="3" applyFont="1"/>
    <xf numFmtId="0" fontId="4" fillId="0" borderId="0" xfId="0" applyFont="1" applyAlignment="1">
      <alignment horizontal="right"/>
    </xf>
    <xf numFmtId="0" fontId="25" fillId="0" borderId="0" xfId="0" applyFont="1"/>
    <xf numFmtId="0" fontId="26" fillId="0" borderId="0" xfId="0" applyFont="1"/>
    <xf numFmtId="0" fontId="26" fillId="6" borderId="14" xfId="0" applyFont="1" applyFill="1" applyBorder="1" applyAlignment="1" applyProtection="1">
      <alignment horizontal="left"/>
      <protection locked="0"/>
    </xf>
    <xf numFmtId="0" fontId="26" fillId="6" borderId="0" xfId="0" applyFont="1" applyFill="1" applyAlignment="1" applyProtection="1">
      <alignment horizontal="left" vertical="center"/>
      <protection locked="0"/>
    </xf>
    <xf numFmtId="0" fontId="25" fillId="6" borderId="0" xfId="0" applyFont="1" applyFill="1" applyAlignment="1" applyProtection="1">
      <alignment horizontal="left" vertical="center"/>
      <protection locked="0"/>
    </xf>
    <xf numFmtId="0" fontId="26" fillId="6" borderId="0" xfId="0" applyFont="1" applyFill="1" applyAlignment="1" applyProtection="1">
      <alignment horizontal="center"/>
      <protection locked="0"/>
    </xf>
    <xf numFmtId="0" fontId="27" fillId="6" borderId="0" xfId="0" applyFont="1" applyFill="1" applyAlignment="1" applyProtection="1">
      <alignment horizontal="center" vertical="center"/>
      <protection locked="0"/>
    </xf>
    <xf numFmtId="0" fontId="26" fillId="6" borderId="0" xfId="0" applyFont="1" applyFill="1" applyAlignment="1" applyProtection="1">
      <alignment vertical="center"/>
      <protection locked="0"/>
    </xf>
    <xf numFmtId="0" fontId="28" fillId="6" borderId="0" xfId="0" applyFont="1" applyFill="1" applyAlignment="1" applyProtection="1">
      <alignment vertical="center"/>
      <protection locked="0"/>
    </xf>
    <xf numFmtId="0" fontId="26" fillId="6" borderId="15" xfId="0" applyFont="1" applyFill="1" applyBorder="1" applyProtection="1">
      <protection locked="0"/>
    </xf>
    <xf numFmtId="0" fontId="26" fillId="6" borderId="0" xfId="0" applyFont="1" applyFill="1" applyAlignment="1" applyProtection="1">
      <alignment horizontal="left"/>
      <protection locked="0"/>
    </xf>
    <xf numFmtId="0" fontId="4" fillId="0" borderId="36" xfId="0" applyFont="1" applyBorder="1" applyAlignment="1">
      <alignment horizontal="center" vertical="center"/>
    </xf>
    <xf numFmtId="0" fontId="4" fillId="0" borderId="37" xfId="0" applyFont="1" applyBorder="1" applyAlignment="1">
      <alignment horizontal="center" vertical="center"/>
    </xf>
    <xf numFmtId="0" fontId="4" fillId="0" borderId="38" xfId="0" applyFont="1" applyBorder="1" applyAlignment="1">
      <alignment horizontal="center" vertical="center"/>
    </xf>
    <xf numFmtId="0" fontId="29" fillId="6" borderId="0" xfId="0" applyFont="1" applyFill="1" applyProtection="1">
      <protection locked="0"/>
    </xf>
    <xf numFmtId="0" fontId="4" fillId="6" borderId="0" xfId="0" applyFont="1" applyFill="1" applyProtection="1">
      <protection locked="0"/>
    </xf>
    <xf numFmtId="0" fontId="26" fillId="6" borderId="0" xfId="0" applyFont="1" applyFill="1" applyProtection="1">
      <protection locked="0"/>
    </xf>
    <xf numFmtId="0" fontId="26" fillId="6" borderId="0" xfId="0" applyFont="1" applyFill="1" applyAlignment="1" applyProtection="1">
      <alignment horizontal="right"/>
      <protection locked="0"/>
    </xf>
    <xf numFmtId="0" fontId="30" fillId="6" borderId="0" xfId="0" applyFont="1" applyFill="1" applyAlignment="1" applyProtection="1">
      <alignment horizontal="left"/>
      <protection locked="0"/>
    </xf>
    <xf numFmtId="0" fontId="25" fillId="6" borderId="0" xfId="0" applyFont="1" applyFill="1" applyAlignment="1" applyProtection="1">
      <alignment horizontal="left"/>
      <protection locked="0"/>
    </xf>
    <xf numFmtId="0" fontId="31" fillId="6" borderId="0" xfId="0" applyFont="1" applyFill="1" applyAlignment="1" applyProtection="1">
      <alignment horizontal="left" vertical="center"/>
      <protection locked="0"/>
    </xf>
    <xf numFmtId="0" fontId="26" fillId="6" borderId="14" xfId="0" applyFont="1" applyFill="1" applyBorder="1" applyProtection="1">
      <protection locked="0"/>
    </xf>
    <xf numFmtId="164" fontId="26" fillId="0" borderId="0" xfId="0" applyNumberFormat="1" applyFont="1"/>
    <xf numFmtId="0" fontId="26" fillId="6" borderId="29" xfId="0" applyFont="1" applyFill="1" applyBorder="1" applyAlignment="1">
      <alignment horizontal="center" vertical="center" wrapText="1"/>
    </xf>
    <xf numFmtId="165" fontId="26" fillId="6" borderId="14" xfId="0" applyNumberFormat="1" applyFont="1" applyFill="1" applyBorder="1" applyAlignment="1" applyProtection="1">
      <alignment vertical="center"/>
      <protection locked="0"/>
    </xf>
    <xf numFmtId="167" fontId="26" fillId="0" borderId="0" xfId="0" applyNumberFormat="1" applyFont="1"/>
    <xf numFmtId="0" fontId="26" fillId="6" borderId="9" xfId="0" applyFont="1" applyFill="1" applyBorder="1" applyAlignment="1">
      <alignment horizontal="center" vertical="center" wrapText="1"/>
    </xf>
    <xf numFmtId="0" fontId="26" fillId="6" borderId="45" xfId="0" applyFont="1" applyFill="1" applyBorder="1" applyAlignment="1">
      <alignment horizontal="center" vertical="center" wrapText="1"/>
    </xf>
    <xf numFmtId="0" fontId="26" fillId="6" borderId="4" xfId="0" applyFont="1" applyFill="1" applyBorder="1" applyAlignment="1">
      <alignment horizontal="center" vertical="center" wrapText="1"/>
    </xf>
    <xf numFmtId="0" fontId="26" fillId="6" borderId="15" xfId="0" applyFont="1" applyFill="1" applyBorder="1" applyAlignment="1" applyProtection="1">
      <alignment vertical="center" wrapText="1"/>
      <protection locked="0"/>
    </xf>
    <xf numFmtId="0" fontId="4" fillId="6" borderId="0" xfId="0" applyFont="1" applyFill="1"/>
    <xf numFmtId="0" fontId="26" fillId="6" borderId="52" xfId="0" applyFont="1" applyFill="1" applyBorder="1" applyAlignment="1">
      <alignment horizontal="center" vertical="center" wrapText="1"/>
    </xf>
    <xf numFmtId="0" fontId="4" fillId="6" borderId="14" xfId="0" applyFont="1" applyFill="1" applyBorder="1" applyProtection="1">
      <protection locked="0"/>
    </xf>
    <xf numFmtId="0" fontId="25" fillId="6" borderId="0" xfId="0" applyFont="1" applyFill="1" applyProtection="1">
      <protection locked="0"/>
    </xf>
    <xf numFmtId="0" fontId="4" fillId="6" borderId="15" xfId="0" applyFont="1" applyFill="1" applyBorder="1" applyProtection="1">
      <protection locked="0"/>
    </xf>
    <xf numFmtId="0" fontId="33" fillId="6" borderId="0" xfId="0" applyFont="1" applyFill="1" applyProtection="1">
      <protection locked="0"/>
    </xf>
    <xf numFmtId="0" fontId="4" fillId="0" borderId="15" xfId="0" applyFont="1" applyBorder="1"/>
    <xf numFmtId="166" fontId="26" fillId="0" borderId="0" xfId="2" applyNumberFormat="1" applyFont="1"/>
    <xf numFmtId="0" fontId="28" fillId="6" borderId="0" xfId="0" applyFont="1" applyFill="1" applyProtection="1">
      <protection locked="0"/>
    </xf>
    <xf numFmtId="0" fontId="26" fillId="6" borderId="0" xfId="0" applyFont="1" applyFill="1" applyAlignment="1" applyProtection="1">
      <alignment vertical="center" wrapText="1"/>
      <protection locked="0"/>
    </xf>
    <xf numFmtId="165" fontId="26" fillId="6" borderId="0" xfId="0" applyNumberFormat="1" applyFont="1" applyFill="1" applyAlignment="1" applyProtection="1">
      <alignment vertical="center"/>
      <protection locked="0"/>
    </xf>
    <xf numFmtId="0" fontId="34" fillId="6" borderId="15" xfId="0" applyFont="1" applyFill="1" applyBorder="1" applyProtection="1">
      <protection locked="0"/>
    </xf>
    <xf numFmtId="0" fontId="4" fillId="6" borderId="0" xfId="0" applyFont="1" applyFill="1" applyAlignment="1" applyProtection="1">
      <alignment horizontal="right"/>
      <protection locked="0"/>
    </xf>
    <xf numFmtId="0" fontId="28" fillId="6" borderId="0" xfId="0" applyFont="1" applyFill="1" applyAlignment="1" applyProtection="1">
      <alignment horizontal="center" vertical="center" wrapText="1"/>
      <protection locked="0"/>
    </xf>
    <xf numFmtId="0" fontId="0" fillId="4" borderId="45" xfId="0" applyFill="1" applyBorder="1" applyAlignment="1">
      <alignment horizontal="center"/>
    </xf>
    <xf numFmtId="0" fontId="0" fillId="4" borderId="4" xfId="0" applyFill="1" applyBorder="1" applyAlignment="1">
      <alignment horizontal="center"/>
    </xf>
    <xf numFmtId="0" fontId="13" fillId="10" borderId="73" xfId="0" applyFont="1" applyFill="1" applyBorder="1" applyAlignment="1">
      <alignment vertical="center"/>
    </xf>
    <xf numFmtId="0" fontId="7" fillId="5" borderId="0" xfId="0" applyFont="1" applyFill="1" applyAlignment="1">
      <alignment horizontal="center" vertical="center"/>
    </xf>
    <xf numFmtId="0" fontId="0" fillId="2" borderId="27" xfId="0" applyFill="1" applyBorder="1" applyAlignment="1">
      <alignment horizontal="center" vertical="center"/>
    </xf>
    <xf numFmtId="0" fontId="3" fillId="6" borderId="28" xfId="0" applyFont="1" applyFill="1" applyBorder="1" applyAlignment="1">
      <alignment horizontal="center" vertical="center"/>
    </xf>
    <xf numFmtId="0" fontId="26" fillId="6" borderId="11" xfId="0" applyFont="1" applyFill="1" applyBorder="1" applyAlignment="1">
      <alignment horizontal="left"/>
    </xf>
    <xf numFmtId="0" fontId="26" fillId="6" borderId="12" xfId="0" applyFont="1" applyFill="1" applyBorder="1" applyAlignment="1">
      <alignment horizontal="left"/>
    </xf>
    <xf numFmtId="0" fontId="26" fillId="6" borderId="12" xfId="0" applyFont="1" applyFill="1" applyBorder="1" applyAlignment="1">
      <alignment horizontal="right"/>
    </xf>
    <xf numFmtId="0" fontId="25" fillId="6" borderId="12" xfId="0" applyFont="1" applyFill="1" applyBorder="1" applyAlignment="1">
      <alignment horizontal="left"/>
    </xf>
    <xf numFmtId="0" fontId="26" fillId="6" borderId="14" xfId="0" applyFont="1" applyFill="1" applyBorder="1" applyAlignment="1">
      <alignment horizontal="left"/>
    </xf>
    <xf numFmtId="0" fontId="26" fillId="6" borderId="0" xfId="0" applyFont="1" applyFill="1" applyAlignment="1">
      <alignment horizontal="left" vertical="center"/>
    </xf>
    <xf numFmtId="0" fontId="26" fillId="6" borderId="0" xfId="0" applyFont="1" applyFill="1" applyAlignment="1">
      <alignment horizontal="right" vertical="center"/>
    </xf>
    <xf numFmtId="0" fontId="25" fillId="6" borderId="0" xfId="0" applyFont="1" applyFill="1" applyAlignment="1">
      <alignment horizontal="left" vertical="center"/>
    </xf>
    <xf numFmtId="0" fontId="27" fillId="6" borderId="0" xfId="0" applyFont="1" applyFill="1" applyAlignment="1">
      <alignment vertical="center"/>
    </xf>
    <xf numFmtId="0" fontId="26" fillId="6" borderId="0" xfId="0" applyFont="1" applyFill="1" applyAlignment="1">
      <alignment vertical="center"/>
    </xf>
    <xf numFmtId="0" fontId="28" fillId="6" borderId="0" xfId="0" applyFont="1" applyFill="1" applyAlignment="1">
      <alignment vertical="center"/>
    </xf>
    <xf numFmtId="0" fontId="26" fillId="6" borderId="15" xfId="0" applyFont="1" applyFill="1" applyBorder="1"/>
    <xf numFmtId="0" fontId="0" fillId="11" borderId="76" xfId="0" applyFill="1" applyBorder="1"/>
    <xf numFmtId="0" fontId="0" fillId="11" borderId="77" xfId="0" applyFill="1" applyBorder="1"/>
    <xf numFmtId="0" fontId="0" fillId="11" borderId="78" xfId="0" applyFill="1" applyBorder="1"/>
    <xf numFmtId="0" fontId="0" fillId="11" borderId="79" xfId="0" applyFill="1" applyBorder="1"/>
    <xf numFmtId="0" fontId="0" fillId="12" borderId="0" xfId="0" applyFill="1"/>
    <xf numFmtId="0" fontId="0" fillId="11" borderId="80" xfId="0" applyFill="1" applyBorder="1"/>
    <xf numFmtId="0" fontId="38" fillId="12" borderId="0" xfId="0" applyFont="1" applyFill="1" applyAlignment="1">
      <alignment vertical="center"/>
    </xf>
    <xf numFmtId="0" fontId="39" fillId="12" borderId="0" xfId="0" applyFont="1" applyFill="1" applyAlignment="1">
      <alignment vertical="center" wrapText="1"/>
    </xf>
    <xf numFmtId="0" fontId="0" fillId="11" borderId="81" xfId="0" applyFill="1" applyBorder="1"/>
    <xf numFmtId="0" fontId="0" fillId="11" borderId="82" xfId="0" applyFill="1" applyBorder="1"/>
    <xf numFmtId="0" fontId="0" fillId="11" borderId="83" xfId="0" applyFill="1" applyBorder="1"/>
    <xf numFmtId="0" fontId="26" fillId="6" borderId="45" xfId="0" applyFont="1" applyFill="1" applyBorder="1" applyAlignment="1" applyProtection="1">
      <alignment horizontal="center" vertical="center" wrapText="1"/>
      <protection locked="0"/>
    </xf>
    <xf numFmtId="0" fontId="26" fillId="6" borderId="4" xfId="0" applyFont="1" applyFill="1" applyBorder="1" applyAlignment="1" applyProtection="1">
      <alignment horizontal="center" vertical="center" wrapText="1"/>
      <protection locked="0"/>
    </xf>
    <xf numFmtId="0" fontId="1" fillId="2" borderId="0" xfId="0" applyFont="1" applyFill="1" applyAlignment="1">
      <alignment horizontal="center" vertical="center"/>
    </xf>
    <xf numFmtId="0" fontId="4" fillId="0" borderId="14" xfId="0" applyFont="1" applyBorder="1"/>
    <xf numFmtId="0" fontId="0" fillId="0" borderId="14" xfId="0" applyBorder="1"/>
    <xf numFmtId="0" fontId="0" fillId="0" borderId="15" xfId="0" applyBorder="1"/>
    <xf numFmtId="0" fontId="0" fillId="0" borderId="74" xfId="0" applyBorder="1" applyAlignment="1">
      <alignment horizontal="center" vertical="center"/>
    </xf>
    <xf numFmtId="0" fontId="41" fillId="0" borderId="0" xfId="0" applyFont="1"/>
    <xf numFmtId="0" fontId="4" fillId="0" borderId="11" xfId="0" applyFont="1" applyBorder="1"/>
    <xf numFmtId="0" fontId="4" fillId="0" borderId="12" xfId="0" applyFont="1" applyBorder="1"/>
    <xf numFmtId="0" fontId="4" fillId="0" borderId="13" xfId="0" applyFont="1" applyBorder="1"/>
    <xf numFmtId="0" fontId="0" fillId="0" borderId="0" xfId="0" applyAlignment="1">
      <alignment horizontal="center" vertical="center"/>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5" xfId="0" applyFill="1" applyBorder="1"/>
    <xf numFmtId="0" fontId="0" fillId="2" borderId="20" xfId="0" applyFill="1" applyBorder="1"/>
    <xf numFmtId="0" fontId="0" fillId="2" borderId="21" xfId="0" applyFill="1" applyBorder="1"/>
    <xf numFmtId="0" fontId="0" fillId="2" borderId="22" xfId="0" applyFill="1" applyBorder="1"/>
    <xf numFmtId="0" fontId="0" fillId="0" borderId="11" xfId="0" applyBorder="1"/>
    <xf numFmtId="0" fontId="0" fillId="0" borderId="12" xfId="0" applyBorder="1"/>
    <xf numFmtId="0" fontId="0" fillId="0" borderId="13" xfId="0" applyBorder="1"/>
    <xf numFmtId="0" fontId="0" fillId="0" borderId="16" xfId="0" applyBorder="1"/>
    <xf numFmtId="0" fontId="0" fillId="0" borderId="32" xfId="0" applyBorder="1"/>
    <xf numFmtId="0" fontId="0" fillId="0" borderId="17" xfId="0" applyBorder="1"/>
    <xf numFmtId="0" fontId="0" fillId="0" borderId="46" xfId="0" applyBorder="1"/>
    <xf numFmtId="0" fontId="0" fillId="0" borderId="27" xfId="0" applyBorder="1"/>
    <xf numFmtId="0" fontId="0" fillId="0" borderId="47" xfId="0" applyBorder="1"/>
    <xf numFmtId="0" fontId="0" fillId="0" borderId="89" xfId="0" applyBorder="1"/>
    <xf numFmtId="0" fontId="0" fillId="0" borderId="55" xfId="0" applyBorder="1"/>
    <xf numFmtId="0" fontId="0" fillId="9" borderId="0" xfId="0" applyFill="1"/>
    <xf numFmtId="0" fontId="4" fillId="0" borderId="75" xfId="0" applyFont="1" applyBorder="1" applyAlignment="1">
      <alignment horizontal="center" vertical="center"/>
    </xf>
    <xf numFmtId="0" fontId="22" fillId="4" borderId="70" xfId="0" applyFont="1" applyFill="1" applyBorder="1" applyAlignment="1">
      <alignment horizontal="center" vertical="center"/>
    </xf>
    <xf numFmtId="0" fontId="4" fillId="0" borderId="35" xfId="0" applyFont="1" applyBorder="1"/>
    <xf numFmtId="0" fontId="4" fillId="0" borderId="33" xfId="0" applyFont="1" applyBorder="1"/>
    <xf numFmtId="0" fontId="4" fillId="0" borderId="34" xfId="0" applyFont="1" applyBorder="1"/>
    <xf numFmtId="0" fontId="4" fillId="0" borderId="57" xfId="0" applyFont="1" applyBorder="1" applyAlignment="1">
      <alignment horizontal="center" vertical="center"/>
    </xf>
    <xf numFmtId="0" fontId="4" fillId="0" borderId="90" xfId="0" applyFont="1" applyBorder="1" applyAlignment="1">
      <alignment horizontal="center" vertical="center"/>
    </xf>
    <xf numFmtId="0" fontId="3" fillId="0" borderId="0" xfId="0" applyFont="1" applyAlignment="1">
      <alignment horizontal="center" vertical="center"/>
    </xf>
    <xf numFmtId="1" fontId="34" fillId="6" borderId="0" xfId="0" applyNumberFormat="1" applyFont="1" applyFill="1" applyProtection="1">
      <protection locked="0"/>
    </xf>
    <xf numFmtId="0" fontId="34" fillId="6" borderId="0" xfId="0" applyFont="1" applyFill="1" applyProtection="1">
      <protection locked="0"/>
    </xf>
    <xf numFmtId="0" fontId="26" fillId="0" borderId="0" xfId="0" applyFont="1" applyAlignment="1">
      <alignment horizontal="center" vertical="center"/>
    </xf>
    <xf numFmtId="0" fontId="25" fillId="6" borderId="0" xfId="0" applyFont="1" applyFill="1" applyAlignment="1" applyProtection="1">
      <alignment horizontal="right" vertical="center"/>
      <protection locked="0"/>
    </xf>
    <xf numFmtId="0" fontId="25" fillId="6" borderId="0" xfId="0" applyFont="1" applyFill="1" applyAlignment="1" applyProtection="1">
      <alignment horizontal="right" vertical="center" indent="1"/>
      <protection locked="0"/>
    </xf>
    <xf numFmtId="0" fontId="25" fillId="6" borderId="0" xfId="0" applyFont="1" applyFill="1" applyAlignment="1" applyProtection="1">
      <alignment horizontal="center"/>
      <protection locked="0"/>
    </xf>
    <xf numFmtId="0" fontId="0" fillId="4" borderId="27" xfId="0" applyFill="1" applyBorder="1" applyAlignment="1">
      <alignment horizontal="center" vertical="center"/>
    </xf>
    <xf numFmtId="0" fontId="0" fillId="4" borderId="0" xfId="0" applyFill="1" applyAlignment="1">
      <alignment horizontal="center" vertical="center"/>
    </xf>
    <xf numFmtId="0" fontId="0" fillId="4" borderId="0" xfId="0" applyFill="1" applyAlignment="1">
      <alignment horizontal="center"/>
    </xf>
    <xf numFmtId="0" fontId="14" fillId="6" borderId="28" xfId="0" applyFont="1" applyFill="1" applyBorder="1" applyAlignment="1">
      <alignment horizontal="center" vertical="center"/>
    </xf>
    <xf numFmtId="0" fontId="4" fillId="17" borderId="71" xfId="0" applyFont="1" applyFill="1" applyBorder="1" applyAlignment="1">
      <alignment horizontal="center"/>
    </xf>
    <xf numFmtId="0" fontId="13" fillId="18" borderId="73" xfId="0" applyFont="1" applyFill="1" applyBorder="1" applyAlignment="1">
      <alignment vertical="center"/>
    </xf>
    <xf numFmtId="0" fontId="4" fillId="17" borderId="70" xfId="0" applyFont="1" applyFill="1" applyBorder="1" applyAlignment="1">
      <alignment horizontal="center"/>
    </xf>
    <xf numFmtId="0" fontId="0" fillId="17" borderId="0" xfId="0" applyFill="1"/>
    <xf numFmtId="0" fontId="4" fillId="19" borderId="71" xfId="0" applyFont="1" applyFill="1" applyBorder="1" applyAlignment="1">
      <alignment horizontal="center"/>
    </xf>
    <xf numFmtId="0" fontId="13" fillId="20" borderId="73" xfId="0" applyFont="1" applyFill="1" applyBorder="1" applyAlignment="1">
      <alignment vertical="center"/>
    </xf>
    <xf numFmtId="0" fontId="4" fillId="19" borderId="70" xfId="0" applyFont="1" applyFill="1" applyBorder="1" applyAlignment="1">
      <alignment horizontal="center"/>
    </xf>
    <xf numFmtId="0" fontId="0" fillId="19" borderId="0" xfId="0" applyFill="1"/>
    <xf numFmtId="0" fontId="4" fillId="16" borderId="0" xfId="0" applyFont="1" applyFill="1"/>
    <xf numFmtId="0" fontId="4" fillId="2" borderId="0" xfId="0" applyFont="1" applyFill="1" applyProtection="1">
      <protection locked="0"/>
    </xf>
    <xf numFmtId="0" fontId="4" fillId="2" borderId="0" xfId="0" applyFont="1" applyFill="1" applyAlignment="1" applyProtection="1">
      <alignment horizontal="center" vertical="center"/>
      <protection locked="0"/>
    </xf>
    <xf numFmtId="0" fontId="7" fillId="4" borderId="5" xfId="0" applyFont="1" applyFill="1" applyBorder="1" applyAlignment="1" applyProtection="1">
      <alignment horizontal="center" vertical="center"/>
      <protection locked="0"/>
    </xf>
    <xf numFmtId="0" fontId="7" fillId="4" borderId="31" xfId="0" applyFont="1" applyFill="1" applyBorder="1" applyAlignment="1" applyProtection="1">
      <alignment horizontal="center" vertical="center"/>
      <protection locked="0"/>
    </xf>
    <xf numFmtId="0" fontId="7" fillId="4" borderId="6" xfId="0" applyFont="1" applyFill="1" applyBorder="1" applyAlignment="1" applyProtection="1">
      <alignment horizontal="center" vertical="center"/>
      <protection locked="0"/>
    </xf>
    <xf numFmtId="0" fontId="4" fillId="4" borderId="7" xfId="0" applyFont="1" applyFill="1" applyBorder="1" applyAlignment="1" applyProtection="1">
      <alignment horizontal="center" vertical="center"/>
      <protection locked="0"/>
    </xf>
    <xf numFmtId="0" fontId="4" fillId="4" borderId="27" xfId="0" applyFont="1" applyFill="1" applyBorder="1" applyAlignment="1" applyProtection="1">
      <alignment horizontal="center" vertical="center"/>
      <protection locked="0"/>
    </xf>
    <xf numFmtId="0" fontId="4" fillId="4" borderId="8" xfId="0" applyFont="1" applyFill="1" applyBorder="1" applyAlignment="1" applyProtection="1">
      <alignment horizontal="center" vertical="center"/>
      <protection locked="0"/>
    </xf>
    <xf numFmtId="0" fontId="8" fillId="4" borderId="13" xfId="0" applyFont="1" applyFill="1" applyBorder="1" applyAlignment="1" applyProtection="1">
      <alignment horizontal="center" vertical="center"/>
      <protection locked="0"/>
    </xf>
    <xf numFmtId="0" fontId="4" fillId="4" borderId="29" xfId="0" applyFont="1" applyFill="1" applyBorder="1" applyAlignment="1" applyProtection="1">
      <alignment horizontal="center" vertical="center"/>
      <protection locked="0"/>
    </xf>
    <xf numFmtId="0" fontId="4" fillId="4" borderId="0" xfId="0" applyFont="1" applyFill="1" applyAlignment="1" applyProtection="1">
      <alignment horizontal="center" vertical="center"/>
      <protection locked="0"/>
    </xf>
    <xf numFmtId="0" fontId="4" fillId="4" borderId="30" xfId="0" applyFont="1" applyFill="1" applyBorder="1" applyAlignment="1" applyProtection="1">
      <alignment horizontal="center" vertical="center"/>
      <protection locked="0"/>
    </xf>
    <xf numFmtId="0" fontId="8" fillId="4" borderId="54" xfId="0" applyFont="1" applyFill="1" applyBorder="1" applyAlignment="1" applyProtection="1">
      <alignment horizontal="center" vertical="center"/>
      <protection locked="0"/>
    </xf>
    <xf numFmtId="0" fontId="4" fillId="4" borderId="14" xfId="0" applyFont="1" applyFill="1" applyBorder="1" applyAlignment="1" applyProtection="1">
      <alignment horizontal="center" vertical="center"/>
      <protection locked="0"/>
    </xf>
    <xf numFmtId="0" fontId="4" fillId="4" borderId="15" xfId="0" applyFont="1" applyFill="1" applyBorder="1" applyProtection="1">
      <protection locked="0"/>
    </xf>
    <xf numFmtId="0" fontId="4" fillId="4" borderId="14" xfId="0" applyFont="1" applyFill="1" applyBorder="1" applyProtection="1">
      <protection locked="0"/>
    </xf>
    <xf numFmtId="0" fontId="16" fillId="4" borderId="55" xfId="0" applyFon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4" fillId="4" borderId="16" xfId="0" applyFont="1" applyFill="1" applyBorder="1" applyProtection="1">
      <protection locked="0"/>
    </xf>
    <xf numFmtId="0" fontId="4" fillId="4" borderId="32" xfId="0" applyFont="1" applyFill="1" applyBorder="1" applyProtection="1">
      <protection locked="0"/>
    </xf>
    <xf numFmtId="0" fontId="4" fillId="4" borderId="17" xfId="0" applyFont="1" applyFill="1" applyBorder="1" applyProtection="1">
      <protection locked="0"/>
    </xf>
    <xf numFmtId="0" fontId="4" fillId="2" borderId="0" xfId="0" applyFont="1" applyFill="1" applyAlignment="1" applyProtection="1">
      <alignment horizontal="center"/>
      <protection locked="0"/>
    </xf>
    <xf numFmtId="0" fontId="4" fillId="4" borderId="11" xfId="0" applyFont="1" applyFill="1" applyBorder="1" applyProtection="1">
      <protection locked="0"/>
    </xf>
    <xf numFmtId="0" fontId="4" fillId="4" borderId="53" xfId="0" applyFont="1" applyFill="1" applyBorder="1" applyProtection="1">
      <protection locked="0"/>
    </xf>
    <xf numFmtId="0" fontId="7" fillId="4" borderId="15" xfId="0" applyFont="1" applyFill="1" applyBorder="1" applyAlignment="1" applyProtection="1">
      <alignment vertical="center"/>
      <protection locked="0"/>
    </xf>
    <xf numFmtId="0" fontId="4" fillId="4" borderId="9" xfId="0" applyFont="1" applyFill="1" applyBorder="1" applyAlignment="1" applyProtection="1">
      <alignment horizontal="center" vertical="center"/>
      <protection locked="0"/>
    </xf>
    <xf numFmtId="0" fontId="4" fillId="4" borderId="28" xfId="0" applyFont="1" applyFill="1" applyBorder="1" applyAlignment="1" applyProtection="1">
      <alignment horizontal="center" vertical="center"/>
      <protection locked="0"/>
    </xf>
    <xf numFmtId="0" fontId="4" fillId="4" borderId="10" xfId="0" applyFont="1" applyFill="1" applyBorder="1" applyAlignment="1" applyProtection="1">
      <alignment horizontal="center" vertical="center"/>
      <protection locked="0"/>
    </xf>
    <xf numFmtId="14" fontId="4" fillId="2" borderId="0" xfId="0" applyNumberFormat="1" applyFont="1" applyFill="1" applyProtection="1">
      <protection locked="0"/>
    </xf>
    <xf numFmtId="0" fontId="4" fillId="4" borderId="0" xfId="0" applyFont="1" applyFill="1" applyProtection="1">
      <protection locked="0"/>
    </xf>
    <xf numFmtId="0" fontId="8" fillId="4" borderId="0" xfId="0" applyFont="1" applyFill="1" applyAlignment="1" applyProtection="1">
      <alignment horizontal="center" vertical="center"/>
      <protection locked="0"/>
    </xf>
    <xf numFmtId="0" fontId="6" fillId="4" borderId="0" xfId="0" applyFont="1" applyFill="1" applyAlignment="1" applyProtection="1">
      <alignment horizontal="right" vertical="center" indent="1"/>
      <protection locked="0"/>
    </xf>
    <xf numFmtId="0" fontId="4" fillId="4" borderId="0" xfId="0" applyFont="1" applyFill="1" applyAlignment="1" applyProtection="1">
      <alignment horizontal="right" vertical="center"/>
      <protection locked="0"/>
    </xf>
    <xf numFmtId="0" fontId="16" fillId="4" borderId="0" xfId="0" applyFont="1" applyFill="1" applyAlignment="1" applyProtection="1">
      <alignment horizontal="left" vertical="center"/>
      <protection locked="0"/>
    </xf>
    <xf numFmtId="0" fontId="4" fillId="4" borderId="92" xfId="0" applyFont="1" applyFill="1" applyBorder="1" applyProtection="1">
      <protection locked="0"/>
    </xf>
    <xf numFmtId="0" fontId="4" fillId="4" borderId="94" xfId="0" applyFont="1" applyFill="1" applyBorder="1" applyProtection="1">
      <protection locked="0"/>
    </xf>
    <xf numFmtId="0" fontId="4" fillId="4" borderId="95" xfId="0" applyFont="1" applyFill="1" applyBorder="1" applyProtection="1">
      <protection locked="0"/>
    </xf>
    <xf numFmtId="0" fontId="4" fillId="4" borderId="97" xfId="0" applyFont="1" applyFill="1" applyBorder="1" applyProtection="1">
      <protection locked="0"/>
    </xf>
    <xf numFmtId="0" fontId="4" fillId="4" borderId="98" xfId="0" applyFont="1" applyFill="1" applyBorder="1" applyProtection="1">
      <protection locked="0"/>
    </xf>
    <xf numFmtId="14" fontId="0" fillId="0" borderId="0" xfId="0" applyNumberFormat="1"/>
    <xf numFmtId="20" fontId="0" fillId="0" borderId="0" xfId="0" applyNumberFormat="1"/>
    <xf numFmtId="0" fontId="40" fillId="11" borderId="0" xfId="0" applyFont="1" applyFill="1" applyAlignment="1">
      <alignment horizontal="center" vertical="center"/>
    </xf>
    <xf numFmtId="0" fontId="17" fillId="12" borderId="0" xfId="0" applyFont="1" applyFill="1" applyAlignment="1">
      <alignment horizontal="center" vertical="center" wrapText="1"/>
    </xf>
    <xf numFmtId="0" fontId="6" fillId="4" borderId="0" xfId="0" applyFont="1" applyFill="1" applyAlignment="1" applyProtection="1">
      <alignment horizontal="right" vertical="center" indent="1"/>
      <protection locked="0"/>
    </xf>
    <xf numFmtId="0" fontId="6" fillId="4" borderId="30" xfId="0" applyFont="1" applyFill="1" applyBorder="1" applyAlignment="1" applyProtection="1">
      <alignment horizontal="right" vertical="center" indent="1"/>
      <protection locked="0"/>
    </xf>
    <xf numFmtId="0" fontId="4" fillId="2" borderId="5" xfId="0" applyFont="1" applyFill="1" applyBorder="1" applyAlignment="1" applyProtection="1">
      <alignment horizontal="center" vertical="center"/>
      <protection locked="0"/>
    </xf>
    <xf numFmtId="0" fontId="4" fillId="2" borderId="6" xfId="0" applyFont="1" applyFill="1" applyBorder="1" applyAlignment="1" applyProtection="1">
      <alignment horizontal="center" vertical="center"/>
      <protection locked="0"/>
    </xf>
    <xf numFmtId="0" fontId="4" fillId="2" borderId="5"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6" xfId="0" applyFont="1" applyFill="1" applyBorder="1" applyAlignment="1">
      <alignment horizontal="center" vertical="center"/>
    </xf>
    <xf numFmtId="0" fontId="17" fillId="4" borderId="7" xfId="0" applyFont="1" applyFill="1" applyBorder="1" applyAlignment="1" applyProtection="1">
      <alignment horizontal="center" vertical="center"/>
      <protection locked="0"/>
    </xf>
    <xf numFmtId="0" fontId="17" fillId="4" borderId="27" xfId="0" applyFont="1" applyFill="1" applyBorder="1" applyAlignment="1" applyProtection="1">
      <alignment horizontal="center" vertical="center"/>
      <protection locked="0"/>
    </xf>
    <xf numFmtId="0" fontId="17" fillId="4" borderId="8" xfId="0" applyFont="1" applyFill="1" applyBorder="1" applyAlignment="1" applyProtection="1">
      <alignment horizontal="center" vertical="center"/>
      <protection locked="0"/>
    </xf>
    <xf numFmtId="0" fontId="17" fillId="4" borderId="29" xfId="0" applyFont="1" applyFill="1" applyBorder="1" applyAlignment="1" applyProtection="1">
      <alignment horizontal="center" vertical="center"/>
      <protection locked="0"/>
    </xf>
    <xf numFmtId="0" fontId="17" fillId="4" borderId="0" xfId="0" applyFont="1" applyFill="1" applyAlignment="1" applyProtection="1">
      <alignment horizontal="center" vertical="center"/>
      <protection locked="0"/>
    </xf>
    <xf numFmtId="0" fontId="17" fillId="4" borderId="30" xfId="0" applyFont="1" applyFill="1" applyBorder="1" applyAlignment="1" applyProtection="1">
      <alignment horizontal="center" vertical="center"/>
      <protection locked="0"/>
    </xf>
    <xf numFmtId="0" fontId="17" fillId="4" borderId="9" xfId="0" applyFont="1" applyFill="1" applyBorder="1" applyAlignment="1" applyProtection="1">
      <alignment horizontal="center" vertical="center"/>
      <protection locked="0"/>
    </xf>
    <xf numFmtId="0" fontId="17" fillId="4" borderId="28" xfId="0" applyFont="1" applyFill="1" applyBorder="1" applyAlignment="1" applyProtection="1">
      <alignment horizontal="center" vertical="center"/>
      <protection locked="0"/>
    </xf>
    <xf numFmtId="0" fontId="17" fillId="4" borderId="10" xfId="0" applyFont="1" applyFill="1" applyBorder="1" applyAlignment="1" applyProtection="1">
      <alignment horizontal="center" vertical="center"/>
      <protection locked="0"/>
    </xf>
    <xf numFmtId="0" fontId="8" fillId="4" borderId="12" xfId="0" applyFont="1" applyFill="1" applyBorder="1" applyAlignment="1" applyProtection="1">
      <alignment horizontal="center" vertical="center"/>
      <protection locked="0"/>
    </xf>
    <xf numFmtId="0" fontId="8" fillId="4" borderId="1" xfId="0" applyFont="1" applyFill="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0" fontId="7" fillId="4" borderId="8" xfId="0" applyFont="1" applyFill="1" applyBorder="1" applyAlignment="1" applyProtection="1">
      <alignment horizontal="center" vertical="center"/>
      <protection locked="0"/>
    </xf>
    <xf numFmtId="0" fontId="7" fillId="4" borderId="9" xfId="0" applyFont="1" applyFill="1" applyBorder="1" applyAlignment="1" applyProtection="1">
      <alignment horizontal="center" vertical="center"/>
      <protection locked="0"/>
    </xf>
    <xf numFmtId="0" fontId="7" fillId="4" borderId="10" xfId="0" applyFont="1" applyFill="1" applyBorder="1" applyAlignment="1" applyProtection="1">
      <alignment horizontal="center" vertical="center"/>
      <protection locked="0"/>
    </xf>
    <xf numFmtId="0" fontId="4" fillId="6" borderId="5" xfId="0" applyFont="1" applyFill="1" applyBorder="1" applyAlignment="1" applyProtection="1">
      <alignment horizontal="center" vertical="center"/>
      <protection locked="0"/>
    </xf>
    <xf numFmtId="0" fontId="4" fillId="6" borderId="6" xfId="0" applyFont="1" applyFill="1" applyBorder="1" applyAlignment="1" applyProtection="1">
      <alignment horizontal="center" vertical="center"/>
      <protection locked="0"/>
    </xf>
    <xf numFmtId="0" fontId="4" fillId="6" borderId="5" xfId="0" applyFont="1" applyFill="1" applyBorder="1" applyAlignment="1">
      <alignment horizontal="center" vertical="center"/>
    </xf>
    <xf numFmtId="0" fontId="4" fillId="6" borderId="31" xfId="0" applyFont="1" applyFill="1" applyBorder="1" applyAlignment="1">
      <alignment horizontal="center" vertical="center"/>
    </xf>
    <xf numFmtId="0" fontId="4" fillId="6" borderId="6" xfId="0" applyFont="1" applyFill="1" applyBorder="1" applyAlignment="1">
      <alignment horizontal="center" vertical="center"/>
    </xf>
    <xf numFmtId="0" fontId="35" fillId="2" borderId="0" xfId="1" applyFont="1" applyFill="1" applyAlignment="1" applyProtection="1">
      <alignment horizontal="center" vertical="center"/>
      <protection locked="0"/>
    </xf>
    <xf numFmtId="0" fontId="35" fillId="2" borderId="1" xfId="1" applyFont="1" applyFill="1" applyBorder="1" applyAlignment="1" applyProtection="1">
      <alignment horizontal="center" vertical="center"/>
      <protection locked="0"/>
    </xf>
    <xf numFmtId="0" fontId="16" fillId="2" borderId="0" xfId="1" applyFont="1" applyFill="1" applyAlignment="1" applyProtection="1">
      <alignment horizontal="center" vertical="center" wrapText="1"/>
      <protection locked="0"/>
    </xf>
    <xf numFmtId="0" fontId="36" fillId="2" borderId="7" xfId="1" applyFont="1" applyFill="1" applyBorder="1" applyAlignment="1" applyProtection="1">
      <alignment horizontal="center" vertical="center" wrapText="1"/>
      <protection locked="0"/>
    </xf>
    <xf numFmtId="0" fontId="36" fillId="2" borderId="27" xfId="1" applyFont="1" applyFill="1" applyBorder="1" applyAlignment="1" applyProtection="1">
      <alignment horizontal="center" vertical="center"/>
      <protection locked="0"/>
    </xf>
    <xf numFmtId="0" fontId="36" fillId="2" borderId="8" xfId="1" applyFont="1" applyFill="1" applyBorder="1" applyAlignment="1" applyProtection="1">
      <alignment horizontal="center" vertical="center"/>
      <protection locked="0"/>
    </xf>
    <xf numFmtId="0" fontId="36" fillId="2" borderId="29" xfId="1" applyFont="1" applyFill="1" applyBorder="1" applyAlignment="1" applyProtection="1">
      <alignment horizontal="center" vertical="center"/>
      <protection locked="0"/>
    </xf>
    <xf numFmtId="0" fontId="36" fillId="2" borderId="0" xfId="1" applyFont="1" applyFill="1" applyAlignment="1" applyProtection="1">
      <alignment horizontal="center" vertical="center"/>
      <protection locked="0"/>
    </xf>
    <xf numFmtId="0" fontId="36" fillId="2" borderId="30" xfId="1" applyFont="1" applyFill="1" applyBorder="1" applyAlignment="1" applyProtection="1">
      <alignment horizontal="center" vertical="center"/>
      <protection locked="0"/>
    </xf>
    <xf numFmtId="0" fontId="36" fillId="2" borderId="9" xfId="1" applyFont="1" applyFill="1" applyBorder="1" applyAlignment="1" applyProtection="1">
      <alignment horizontal="center" vertical="center"/>
      <protection locked="0"/>
    </xf>
    <xf numFmtId="0" fontId="36" fillId="2" borderId="28" xfId="1" applyFont="1" applyFill="1" applyBorder="1" applyAlignment="1" applyProtection="1">
      <alignment horizontal="center" vertical="center"/>
      <protection locked="0"/>
    </xf>
    <xf numFmtId="0" fontId="36" fillId="2" borderId="10" xfId="1" applyFont="1" applyFill="1" applyBorder="1" applyAlignment="1" applyProtection="1">
      <alignment horizontal="center" vertical="center"/>
      <protection locked="0"/>
    </xf>
    <xf numFmtId="0" fontId="7" fillId="6" borderId="5" xfId="0" applyFont="1" applyFill="1" applyBorder="1" applyAlignment="1" applyProtection="1">
      <alignment horizontal="center" vertical="center"/>
      <protection locked="0"/>
    </xf>
    <xf numFmtId="0" fontId="7" fillId="6" borderId="31" xfId="0" applyFont="1" applyFill="1" applyBorder="1" applyAlignment="1" applyProtection="1">
      <alignment horizontal="center" vertical="center"/>
      <protection locked="0"/>
    </xf>
    <xf numFmtId="0" fontId="7" fillId="6" borderId="6" xfId="0" applyFont="1" applyFill="1" applyBorder="1" applyAlignment="1" applyProtection="1">
      <alignment horizontal="center" vertical="center"/>
      <protection locked="0"/>
    </xf>
    <xf numFmtId="0" fontId="5" fillId="21" borderId="93" xfId="0" applyFont="1" applyFill="1" applyBorder="1" applyAlignment="1" applyProtection="1">
      <alignment horizontal="center" vertical="center"/>
      <protection locked="0"/>
    </xf>
    <xf numFmtId="0" fontId="5" fillId="21" borderId="91" xfId="0" applyFont="1" applyFill="1" applyBorder="1" applyAlignment="1" applyProtection="1">
      <alignment horizontal="center" vertical="center"/>
      <protection locked="0"/>
    </xf>
    <xf numFmtId="0" fontId="5" fillId="21" borderId="96" xfId="0" applyFont="1" applyFill="1" applyBorder="1" applyAlignment="1" applyProtection="1">
      <alignment horizontal="center" vertical="center"/>
      <protection locked="0"/>
    </xf>
    <xf numFmtId="0" fontId="5" fillId="21" borderId="94" xfId="0" applyFont="1" applyFill="1" applyBorder="1" applyAlignment="1" applyProtection="1">
      <alignment horizontal="center" vertical="center"/>
      <protection locked="0"/>
    </xf>
    <xf numFmtId="0" fontId="5" fillId="21" borderId="0" xfId="0" applyFont="1" applyFill="1" applyAlignment="1" applyProtection="1">
      <alignment horizontal="center" vertical="center"/>
      <protection locked="0"/>
    </xf>
    <xf numFmtId="0" fontId="5" fillId="21" borderId="97" xfId="0" applyFont="1" applyFill="1" applyBorder="1" applyAlignment="1" applyProtection="1">
      <alignment horizontal="center" vertical="center"/>
      <protection locked="0"/>
    </xf>
    <xf numFmtId="14" fontId="4" fillId="2" borderId="5" xfId="0" applyNumberFormat="1" applyFont="1" applyFill="1" applyBorder="1" applyAlignment="1">
      <alignment horizontal="center" vertical="center"/>
    </xf>
    <xf numFmtId="14" fontId="4" fillId="2" borderId="31" xfId="0" applyNumberFormat="1" applyFont="1" applyFill="1" applyBorder="1" applyAlignment="1">
      <alignment horizontal="center" vertical="center"/>
    </xf>
    <xf numFmtId="14" fontId="4" fillId="2" borderId="6" xfId="0" applyNumberFormat="1" applyFont="1" applyFill="1" applyBorder="1" applyAlignment="1">
      <alignment horizontal="center" vertical="center"/>
    </xf>
    <xf numFmtId="0" fontId="8" fillId="4" borderId="11" xfId="0" applyFont="1" applyFill="1" applyBorder="1" applyAlignment="1" applyProtection="1">
      <alignment horizontal="center" vertical="center"/>
      <protection locked="0"/>
    </xf>
    <xf numFmtId="0" fontId="8" fillId="4" borderId="13" xfId="0" applyFont="1" applyFill="1" applyBorder="1" applyAlignment="1" applyProtection="1">
      <alignment horizontal="center" vertical="center"/>
      <protection locked="0"/>
    </xf>
    <xf numFmtId="0" fontId="8" fillId="4" borderId="53" xfId="0" applyFont="1" applyFill="1" applyBorder="1" applyAlignment="1" applyProtection="1">
      <alignment horizontal="center" vertical="center"/>
      <protection locked="0"/>
    </xf>
    <xf numFmtId="0" fontId="8" fillId="4" borderId="54" xfId="0" applyFont="1" applyFill="1" applyBorder="1" applyAlignment="1" applyProtection="1">
      <alignment horizontal="center" vertical="center"/>
      <protection locked="0"/>
    </xf>
    <xf numFmtId="0" fontId="0" fillId="2" borderId="0" xfId="0" applyFill="1" applyAlignment="1">
      <alignment horizontal="center" vertical="center"/>
    </xf>
    <xf numFmtId="0" fontId="37" fillId="3" borderId="14" xfId="0" applyFont="1" applyFill="1" applyBorder="1" applyAlignment="1">
      <alignment horizontal="center" vertical="center"/>
    </xf>
    <xf numFmtId="0" fontId="37" fillId="3" borderId="0" xfId="0" applyFont="1" applyFill="1" applyAlignment="1">
      <alignment horizontal="center" vertical="center"/>
    </xf>
    <xf numFmtId="0" fontId="37" fillId="3" borderId="16" xfId="0" applyFont="1" applyFill="1" applyBorder="1" applyAlignment="1">
      <alignment horizontal="center" vertical="center"/>
    </xf>
    <xf numFmtId="0" fontId="37" fillId="3" borderId="32" xfId="0" applyFont="1" applyFill="1" applyBorder="1" applyAlignment="1">
      <alignment horizontal="center" vertical="center"/>
    </xf>
    <xf numFmtId="0" fontId="0" fillId="2" borderId="23" xfId="0" applyFill="1" applyBorder="1" applyAlignment="1">
      <alignment horizontal="center" vertical="center"/>
    </xf>
    <xf numFmtId="0" fontId="0" fillId="2" borderId="21" xfId="0" applyFill="1" applyBorder="1" applyAlignment="1">
      <alignment horizontal="center" vertical="center"/>
    </xf>
    <xf numFmtId="0" fontId="0" fillId="2" borderId="24" xfId="0" applyFill="1" applyBorder="1" applyAlignment="1">
      <alignment horizontal="center" vertical="center"/>
    </xf>
    <xf numFmtId="0" fontId="0" fillId="13" borderId="23" xfId="0" applyFill="1" applyBorder="1" applyAlignment="1">
      <alignment horizontal="center" vertical="center"/>
    </xf>
    <xf numFmtId="0" fontId="0" fillId="13" borderId="24" xfId="0" applyFill="1" applyBorder="1" applyAlignment="1">
      <alignment horizontal="center" vertical="center"/>
    </xf>
    <xf numFmtId="0" fontId="0" fillId="14" borderId="84" xfId="0" applyFill="1" applyBorder="1" applyAlignment="1">
      <alignment horizontal="center" vertical="center" textRotation="90" wrapText="1"/>
    </xf>
    <xf numFmtId="0" fontId="0" fillId="14" borderId="85" xfId="0" applyFill="1" applyBorder="1" applyAlignment="1">
      <alignment horizontal="center" vertical="center" textRotation="90" wrapText="1"/>
    </xf>
    <xf numFmtId="0" fontId="0" fillId="14" borderId="86" xfId="0" applyFill="1" applyBorder="1" applyAlignment="1">
      <alignment horizontal="center" vertical="center" textRotation="90" wrapText="1"/>
    </xf>
    <xf numFmtId="0" fontId="0" fillId="14" borderId="23" xfId="0" applyFill="1" applyBorder="1" applyAlignment="1">
      <alignment horizontal="center" vertical="center"/>
    </xf>
    <xf numFmtId="0" fontId="0" fillId="14" borderId="21" xfId="0" applyFill="1" applyBorder="1" applyAlignment="1">
      <alignment horizontal="center" vertical="center"/>
    </xf>
    <xf numFmtId="0" fontId="0" fillId="14" borderId="24" xfId="0" applyFill="1" applyBorder="1" applyAlignment="1">
      <alignment horizontal="center" vertical="center"/>
    </xf>
    <xf numFmtId="0" fontId="0" fillId="13" borderId="84" xfId="0" applyFill="1" applyBorder="1" applyAlignment="1">
      <alignment horizontal="center" vertical="center" textRotation="90" wrapText="1"/>
    </xf>
    <xf numFmtId="0" fontId="0" fillId="13" borderId="85" xfId="0" applyFill="1" applyBorder="1" applyAlignment="1">
      <alignment horizontal="center" vertical="center" textRotation="90" wrapText="1"/>
    </xf>
    <xf numFmtId="0" fontId="0" fillId="13" borderId="86" xfId="0" applyFill="1" applyBorder="1" applyAlignment="1">
      <alignment horizontal="center" vertical="center" textRotation="90" wrapText="1"/>
    </xf>
    <xf numFmtId="0" fontId="0" fillId="0" borderId="0" xfId="0" applyAlignment="1">
      <alignment horizontal="center" vertical="center"/>
    </xf>
    <xf numFmtId="0" fontId="0" fillId="0" borderId="12" xfId="0" applyBorder="1" applyAlignment="1">
      <alignment horizontal="center" vertical="center"/>
    </xf>
    <xf numFmtId="0" fontId="0" fillId="14" borderId="87" xfId="0" applyFill="1" applyBorder="1" applyAlignment="1">
      <alignment horizontal="center" vertical="center" textRotation="90" wrapText="1"/>
    </xf>
    <xf numFmtId="0" fontId="0" fillId="14" borderId="55" xfId="0" applyFill="1" applyBorder="1" applyAlignment="1">
      <alignment horizontal="center" vertical="center" textRotation="90" wrapText="1"/>
    </xf>
    <xf numFmtId="0" fontId="0" fillId="14" borderId="88" xfId="0" applyFill="1" applyBorder="1" applyAlignment="1">
      <alignment horizontal="center" vertical="center" textRotation="90" wrapText="1"/>
    </xf>
    <xf numFmtId="0" fontId="0" fillId="13" borderId="84" xfId="0" applyFill="1" applyBorder="1" applyAlignment="1">
      <alignment horizontal="center" vertical="center" textRotation="90"/>
    </xf>
    <xf numFmtId="0" fontId="0" fillId="13" borderId="85" xfId="0" applyFill="1" applyBorder="1" applyAlignment="1">
      <alignment horizontal="center" vertical="center" textRotation="90"/>
    </xf>
    <xf numFmtId="0" fontId="0" fillId="13" borderId="86" xfId="0" applyFill="1" applyBorder="1" applyAlignment="1">
      <alignment horizontal="center" vertical="center" textRotation="90"/>
    </xf>
    <xf numFmtId="0" fontId="0" fillId="0" borderId="7" xfId="0" applyBorder="1" applyAlignment="1">
      <alignment horizontal="center" vertical="center"/>
    </xf>
    <xf numFmtId="0" fontId="0" fillId="0" borderId="27" xfId="0" applyBorder="1" applyAlignment="1">
      <alignment horizontal="center" vertical="center"/>
    </xf>
    <xf numFmtId="0" fontId="0" fillId="0" borderId="8" xfId="0" applyBorder="1" applyAlignment="1">
      <alignment horizontal="center" vertical="center"/>
    </xf>
    <xf numFmtId="0" fontId="0" fillId="0" borderId="51" xfId="0" applyBorder="1" applyAlignment="1">
      <alignment horizontal="center" vertical="center"/>
    </xf>
    <xf numFmtId="0" fontId="0" fillId="0" borderId="32" xfId="0" applyBorder="1" applyAlignment="1">
      <alignment horizontal="center" vertical="center"/>
    </xf>
    <xf numFmtId="0" fontId="0" fillId="0" borderId="50" xfId="0" applyBorder="1" applyAlignment="1">
      <alignment horizontal="center" vertical="center"/>
    </xf>
    <xf numFmtId="0" fontId="0" fillId="13" borderId="7" xfId="0" applyFill="1" applyBorder="1" applyAlignment="1">
      <alignment horizontal="center" vertical="center"/>
    </xf>
    <xf numFmtId="0" fontId="0" fillId="13" borderId="8" xfId="0" applyFill="1" applyBorder="1" applyAlignment="1">
      <alignment horizontal="center" vertical="center"/>
    </xf>
    <xf numFmtId="0" fontId="0" fillId="13" borderId="51" xfId="0" applyFill="1" applyBorder="1" applyAlignment="1">
      <alignment horizontal="center" vertical="center"/>
    </xf>
    <xf numFmtId="0" fontId="0" fillId="13" borderId="50" xfId="0" applyFill="1" applyBorder="1" applyAlignment="1">
      <alignment horizontal="center" vertical="center"/>
    </xf>
    <xf numFmtId="0" fontId="0" fillId="8" borderId="0" xfId="0" applyFill="1" applyAlignment="1">
      <alignment horizontal="center"/>
    </xf>
    <xf numFmtId="0" fontId="43" fillId="15" borderId="11" xfId="0" applyFont="1" applyFill="1" applyBorder="1" applyAlignment="1">
      <alignment horizontal="center" vertical="center" textRotation="90"/>
    </xf>
    <xf numFmtId="0" fontId="43" fillId="15" borderId="12" xfId="0" applyFont="1" applyFill="1" applyBorder="1" applyAlignment="1">
      <alignment horizontal="center" vertical="center" textRotation="90"/>
    </xf>
    <xf numFmtId="0" fontId="43" fillId="15" borderId="13" xfId="0" applyFont="1" applyFill="1" applyBorder="1" applyAlignment="1">
      <alignment horizontal="center" vertical="center" textRotation="90"/>
    </xf>
    <xf numFmtId="0" fontId="43" fillId="15" borderId="14" xfId="0" applyFont="1" applyFill="1" applyBorder="1" applyAlignment="1">
      <alignment horizontal="center" vertical="center" textRotation="90"/>
    </xf>
    <xf numFmtId="0" fontId="43" fillId="15" borderId="0" xfId="0" applyFont="1" applyFill="1" applyAlignment="1">
      <alignment horizontal="center" vertical="center" textRotation="90"/>
    </xf>
    <xf numFmtId="0" fontId="43" fillId="15" borderId="15" xfId="0" applyFont="1" applyFill="1" applyBorder="1" applyAlignment="1">
      <alignment horizontal="center" vertical="center" textRotation="90"/>
    </xf>
    <xf numFmtId="0" fontId="43" fillId="15" borderId="16" xfId="0" applyFont="1" applyFill="1" applyBorder="1" applyAlignment="1">
      <alignment horizontal="center" vertical="center" textRotation="90"/>
    </xf>
    <xf numFmtId="0" fontId="43" fillId="15" borderId="32" xfId="0" applyFont="1" applyFill="1" applyBorder="1" applyAlignment="1">
      <alignment horizontal="center" vertical="center" textRotation="90"/>
    </xf>
    <xf numFmtId="0" fontId="43" fillId="15" borderId="17" xfId="0" applyFont="1" applyFill="1" applyBorder="1" applyAlignment="1">
      <alignment horizontal="center" vertical="center" textRotation="90"/>
    </xf>
    <xf numFmtId="0" fontId="0" fillId="14" borderId="41" xfId="0" applyFill="1" applyBorder="1" applyAlignment="1">
      <alignment horizontal="center" vertical="center"/>
    </xf>
    <xf numFmtId="0" fontId="0" fillId="14" borderId="42" xfId="0" applyFill="1" applyBorder="1" applyAlignment="1">
      <alignment horizontal="center" vertical="center"/>
    </xf>
    <xf numFmtId="0" fontId="0" fillId="14" borderId="9" xfId="0" applyFill="1" applyBorder="1" applyAlignment="1">
      <alignment horizontal="center" vertical="center"/>
    </xf>
    <xf numFmtId="0" fontId="0" fillId="14" borderId="10" xfId="0" applyFill="1" applyBorder="1" applyAlignment="1">
      <alignment horizontal="center" vertical="center"/>
    </xf>
    <xf numFmtId="0" fontId="0" fillId="14" borderId="84" xfId="0" applyFill="1" applyBorder="1" applyAlignment="1">
      <alignment horizontal="center" vertical="center" textRotation="90"/>
    </xf>
    <xf numFmtId="0" fontId="0" fillId="14" borderId="85" xfId="0" applyFill="1" applyBorder="1" applyAlignment="1">
      <alignment horizontal="center" vertical="center" textRotation="90"/>
    </xf>
    <xf numFmtId="0" fontId="0" fillId="14" borderId="86" xfId="0" applyFill="1" applyBorder="1" applyAlignment="1">
      <alignment horizontal="center" vertical="center" textRotation="90"/>
    </xf>
    <xf numFmtId="0" fontId="8" fillId="5" borderId="33" xfId="0" applyFont="1" applyFill="1" applyBorder="1" applyAlignment="1">
      <alignment horizontal="center" vertical="center"/>
    </xf>
    <xf numFmtId="0" fontId="8" fillId="5" borderId="34" xfId="0" applyFont="1" applyFill="1" applyBorder="1" applyAlignment="1">
      <alignment horizontal="center" vertical="center"/>
    </xf>
    <xf numFmtId="0" fontId="8" fillId="5" borderId="35" xfId="0" applyFont="1" applyFill="1" applyBorder="1" applyAlignment="1">
      <alignment horizontal="center" vertical="center"/>
    </xf>
    <xf numFmtId="0" fontId="7" fillId="5" borderId="33" xfId="0" applyFont="1" applyFill="1" applyBorder="1" applyAlignment="1">
      <alignment horizontal="center" vertical="center"/>
    </xf>
    <xf numFmtId="0" fontId="7" fillId="5" borderId="34" xfId="0" applyFont="1" applyFill="1" applyBorder="1" applyAlignment="1">
      <alignment horizontal="center" vertical="center"/>
    </xf>
    <xf numFmtId="0" fontId="7" fillId="5" borderId="35" xfId="0" applyFont="1" applyFill="1" applyBorder="1" applyAlignment="1">
      <alignment horizontal="center" vertical="center"/>
    </xf>
    <xf numFmtId="0" fontId="15" fillId="3" borderId="0" xfId="0" applyFont="1" applyFill="1" applyAlignment="1">
      <alignment horizontal="center" vertical="center" textRotation="90" wrapText="1"/>
    </xf>
    <xf numFmtId="0" fontId="7" fillId="6" borderId="5" xfId="0" applyFont="1" applyFill="1" applyBorder="1" applyAlignment="1">
      <alignment horizontal="center" vertical="center"/>
    </xf>
    <xf numFmtId="0" fontId="7" fillId="6" borderId="31" xfId="0" applyFont="1" applyFill="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6" fillId="0" borderId="16" xfId="0" applyFont="1" applyBorder="1" applyAlignment="1">
      <alignment horizontal="center" vertical="center"/>
    </xf>
    <xf numFmtId="0" fontId="6" fillId="0" borderId="32" xfId="0" applyFont="1" applyBorder="1" applyAlignment="1">
      <alignment horizontal="center" vertical="center"/>
    </xf>
    <xf numFmtId="0" fontId="6" fillId="0" borderId="17"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32" xfId="0" applyFont="1" applyBorder="1" applyAlignment="1">
      <alignment horizontal="center" vertical="center"/>
    </xf>
    <xf numFmtId="0" fontId="7" fillId="0" borderId="17" xfId="0" applyFont="1" applyBorder="1" applyAlignment="1">
      <alignment horizontal="center" vertical="center"/>
    </xf>
    <xf numFmtId="0" fontId="18" fillId="3" borderId="0" xfId="0" applyFont="1" applyFill="1" applyAlignment="1">
      <alignment horizontal="center" vertical="center" textRotation="180" wrapText="1"/>
    </xf>
    <xf numFmtId="0" fontId="19" fillId="3" borderId="11" xfId="0" applyFont="1" applyFill="1" applyBorder="1" applyAlignment="1">
      <alignment horizontal="center" vertical="center"/>
    </xf>
    <xf numFmtId="0" fontId="19" fillId="3" borderId="12"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16" xfId="0" applyFont="1" applyFill="1" applyBorder="1" applyAlignment="1">
      <alignment horizontal="center" vertical="center"/>
    </xf>
    <xf numFmtId="0" fontId="19" fillId="3" borderId="32" xfId="0" applyFont="1" applyFill="1" applyBorder="1" applyAlignment="1">
      <alignment horizontal="center" vertical="center"/>
    </xf>
    <xf numFmtId="0" fontId="19" fillId="3" borderId="17" xfId="0" applyFont="1" applyFill="1" applyBorder="1" applyAlignment="1">
      <alignment horizontal="center" vertical="center"/>
    </xf>
    <xf numFmtId="0" fontId="4" fillId="0" borderId="28" xfId="0" applyFont="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8" fillId="9" borderId="11" xfId="0" applyFont="1" applyFill="1" applyBorder="1" applyAlignment="1">
      <alignment horizontal="center" vertical="center"/>
    </xf>
    <xf numFmtId="0" fontId="8" fillId="9" borderId="12" xfId="0" applyFont="1" applyFill="1" applyBorder="1" applyAlignment="1">
      <alignment horizontal="center" vertical="center"/>
    </xf>
    <xf numFmtId="0" fontId="8" fillId="9" borderId="16" xfId="0" applyFont="1" applyFill="1" applyBorder="1" applyAlignment="1">
      <alignment horizontal="center" vertical="center"/>
    </xf>
    <xf numFmtId="0" fontId="8" fillId="9" borderId="32" xfId="0" applyFont="1" applyFill="1" applyBorder="1" applyAlignment="1">
      <alignment horizontal="center" vertical="center"/>
    </xf>
    <xf numFmtId="0" fontId="8" fillId="9" borderId="13" xfId="0" applyFont="1" applyFill="1" applyBorder="1" applyAlignment="1">
      <alignment horizontal="center" vertical="center"/>
    </xf>
    <xf numFmtId="0" fontId="8" fillId="9" borderId="17" xfId="0" applyFont="1" applyFill="1" applyBorder="1" applyAlignment="1">
      <alignment horizontal="center" vertical="center"/>
    </xf>
    <xf numFmtId="0" fontId="8" fillId="6" borderId="11" xfId="0" applyFont="1" applyFill="1" applyBorder="1" applyAlignment="1">
      <alignment horizontal="center" vertical="center"/>
    </xf>
    <xf numFmtId="0" fontId="8" fillId="6" borderId="13" xfId="0" applyFont="1" applyFill="1" applyBorder="1" applyAlignment="1">
      <alignment horizontal="center" vertical="center"/>
    </xf>
    <xf numFmtId="0" fontId="8" fillId="6" borderId="16" xfId="0" applyFont="1" applyFill="1" applyBorder="1" applyAlignment="1">
      <alignment horizontal="center" vertical="center"/>
    </xf>
    <xf numFmtId="0" fontId="8" fillId="6" borderId="17" xfId="0" applyFont="1" applyFill="1" applyBorder="1" applyAlignment="1">
      <alignment horizontal="center" vertical="center"/>
    </xf>
    <xf numFmtId="0" fontId="23" fillId="9" borderId="0" xfId="0" applyFont="1" applyFill="1" applyAlignment="1">
      <alignment horizontal="center" vertical="center" textRotation="180" wrapText="1"/>
    </xf>
    <xf numFmtId="0" fontId="3" fillId="17" borderId="5" xfId="0" applyFont="1" applyFill="1" applyBorder="1" applyAlignment="1">
      <alignment horizontal="center" vertical="center"/>
    </xf>
    <xf numFmtId="0" fontId="3" fillId="17" borderId="6" xfId="0" applyFont="1" applyFill="1" applyBorder="1" applyAlignment="1">
      <alignment horizontal="center" vertical="center"/>
    </xf>
    <xf numFmtId="0" fontId="18" fillId="16" borderId="0" xfId="0" applyFont="1" applyFill="1" applyAlignment="1">
      <alignment horizontal="center" vertical="center" textRotation="180" wrapText="1"/>
    </xf>
    <xf numFmtId="0" fontId="4" fillId="19" borderId="28" xfId="0" applyFont="1" applyFill="1" applyBorder="1" applyAlignment="1">
      <alignment horizontal="center" vertical="center"/>
    </xf>
    <xf numFmtId="0" fontId="3" fillId="19" borderId="5" xfId="0" applyFont="1" applyFill="1" applyBorder="1" applyAlignment="1">
      <alignment horizontal="center" vertical="center"/>
    </xf>
    <xf numFmtId="0" fontId="3" fillId="19" borderId="6" xfId="0" applyFont="1" applyFill="1" applyBorder="1" applyAlignment="1">
      <alignment horizontal="center" vertical="center"/>
    </xf>
    <xf numFmtId="0" fontId="27" fillId="6" borderId="12" xfId="0" applyFont="1" applyFill="1" applyBorder="1" applyAlignment="1">
      <alignment horizontal="center" vertical="center"/>
    </xf>
    <xf numFmtId="0" fontId="27" fillId="6" borderId="13" xfId="0" applyFont="1" applyFill="1" applyBorder="1" applyAlignment="1">
      <alignment horizontal="center" vertical="center"/>
    </xf>
    <xf numFmtId="0" fontId="27" fillId="6" borderId="0" xfId="0" applyFont="1" applyFill="1" applyAlignment="1">
      <alignment horizontal="center" vertical="center"/>
    </xf>
    <xf numFmtId="0" fontId="27" fillId="6" borderId="15" xfId="0" applyFont="1" applyFill="1" applyBorder="1" applyAlignment="1">
      <alignment horizontal="center" vertical="center"/>
    </xf>
    <xf numFmtId="0" fontId="26" fillId="6" borderId="0" xfId="0" applyFont="1" applyFill="1" applyAlignment="1">
      <alignment horizontal="center"/>
    </xf>
    <xf numFmtId="0" fontId="26" fillId="6" borderId="32" xfId="0" applyFont="1" applyFill="1" applyBorder="1" applyAlignment="1">
      <alignment horizontal="center"/>
    </xf>
    <xf numFmtId="0" fontId="26" fillId="2" borderId="29" xfId="0" applyFont="1" applyFill="1" applyBorder="1" applyAlignment="1" applyProtection="1">
      <alignment horizontal="center" vertical="center"/>
      <protection locked="0"/>
    </xf>
    <xf numFmtId="0" fontId="26" fillId="2" borderId="0" xfId="0" applyFont="1" applyFill="1" applyAlignment="1" applyProtection="1">
      <alignment horizontal="center" vertical="center"/>
      <protection locked="0"/>
    </xf>
    <xf numFmtId="0" fontId="26" fillId="2" borderId="15" xfId="0" applyFont="1" applyFill="1" applyBorder="1" applyAlignment="1" applyProtection="1">
      <alignment horizontal="center" vertical="center"/>
      <protection locked="0"/>
    </xf>
    <xf numFmtId="0" fontId="26" fillId="2" borderId="9" xfId="0" applyFont="1" applyFill="1" applyBorder="1" applyAlignment="1" applyProtection="1">
      <alignment horizontal="center" vertical="center"/>
      <protection locked="0"/>
    </xf>
    <xf numFmtId="0" fontId="26" fillId="2" borderId="28" xfId="0" applyFont="1" applyFill="1" applyBorder="1" applyAlignment="1" applyProtection="1">
      <alignment horizontal="center" vertical="center"/>
      <protection locked="0"/>
    </xf>
    <xf numFmtId="0" fontId="26" fillId="2" borderId="10" xfId="0" applyFont="1" applyFill="1" applyBorder="1" applyAlignment="1" applyProtection="1">
      <alignment horizontal="center" vertical="center"/>
      <protection locked="0"/>
    </xf>
    <xf numFmtId="0" fontId="26" fillId="2" borderId="49" xfId="0" applyFont="1" applyFill="1" applyBorder="1" applyAlignment="1" applyProtection="1">
      <alignment horizontal="center" vertical="center"/>
      <protection locked="0"/>
    </xf>
    <xf numFmtId="0" fontId="26" fillId="2" borderId="30" xfId="0" applyFont="1" applyFill="1" applyBorder="1" applyAlignment="1" applyProtection="1">
      <alignment horizontal="center" vertical="center"/>
      <protection locked="0"/>
    </xf>
    <xf numFmtId="0" fontId="26" fillId="2" borderId="7" xfId="0" applyFont="1" applyFill="1" applyBorder="1" applyAlignment="1" applyProtection="1">
      <alignment horizontal="center" vertical="center"/>
      <protection locked="0"/>
    </xf>
    <xf numFmtId="0" fontId="26" fillId="2" borderId="27" xfId="0" applyFont="1" applyFill="1" applyBorder="1" applyAlignment="1" applyProtection="1">
      <alignment horizontal="center" vertical="center"/>
      <protection locked="0"/>
    </xf>
    <xf numFmtId="0" fontId="26" fillId="2" borderId="8" xfId="0" applyFont="1" applyFill="1" applyBorder="1" applyAlignment="1" applyProtection="1">
      <alignment horizontal="center" vertical="center"/>
      <protection locked="0"/>
    </xf>
    <xf numFmtId="0" fontId="42" fillId="6" borderId="32" xfId="0" applyFont="1" applyFill="1" applyBorder="1" applyAlignment="1">
      <alignment horizontal="center" vertical="center"/>
    </xf>
    <xf numFmtId="0" fontId="44" fillId="6" borderId="12" xfId="0" applyFont="1" applyFill="1" applyBorder="1" applyAlignment="1">
      <alignment horizontal="center" vertical="center"/>
    </xf>
    <xf numFmtId="0" fontId="44" fillId="6" borderId="0" xfId="0" applyFont="1" applyFill="1" applyAlignment="1">
      <alignment horizontal="center" vertical="center"/>
    </xf>
    <xf numFmtId="0" fontId="26" fillId="6" borderId="7" xfId="0" applyFont="1" applyFill="1" applyBorder="1" applyAlignment="1">
      <alignment horizontal="center" vertical="center"/>
    </xf>
    <xf numFmtId="0" fontId="26" fillId="6" borderId="8" xfId="0" applyFont="1" applyFill="1" applyBorder="1" applyAlignment="1">
      <alignment horizontal="center" vertical="center"/>
    </xf>
    <xf numFmtId="0" fontId="26" fillId="6" borderId="9" xfId="0" applyFont="1" applyFill="1" applyBorder="1" applyAlignment="1">
      <alignment horizontal="center" vertical="center"/>
    </xf>
    <xf numFmtId="0" fontId="26" fillId="6" borderId="10" xfId="0" applyFont="1" applyFill="1" applyBorder="1" applyAlignment="1">
      <alignment horizontal="center" vertical="center"/>
    </xf>
    <xf numFmtId="1" fontId="25" fillId="6" borderId="7" xfId="0" applyNumberFormat="1" applyFont="1" applyFill="1" applyBorder="1" applyAlignment="1">
      <alignment horizontal="center" vertical="center"/>
    </xf>
    <xf numFmtId="1" fontId="25" fillId="6" borderId="8" xfId="0" applyNumberFormat="1" applyFont="1" applyFill="1" applyBorder="1" applyAlignment="1">
      <alignment horizontal="center" vertical="center"/>
    </xf>
    <xf numFmtId="1" fontId="25" fillId="6" borderId="9" xfId="0" applyNumberFormat="1" applyFont="1" applyFill="1" applyBorder="1" applyAlignment="1">
      <alignment horizontal="center" vertical="center"/>
    </xf>
    <xf numFmtId="1" fontId="25" fillId="6" borderId="10" xfId="0" applyNumberFormat="1" applyFont="1" applyFill="1" applyBorder="1" applyAlignment="1">
      <alignment horizontal="center" vertical="center"/>
    </xf>
    <xf numFmtId="1" fontId="26" fillId="2" borderId="45" xfId="0" applyNumberFormat="1" applyFont="1" applyFill="1" applyBorder="1" applyAlignment="1" applyProtection="1">
      <alignment horizontal="center" vertical="center"/>
      <protection locked="0"/>
    </xf>
    <xf numFmtId="14" fontId="21" fillId="0" borderId="33" xfId="0" applyNumberFormat="1" applyFont="1" applyBorder="1" applyAlignment="1">
      <alignment horizontal="center" vertical="center"/>
    </xf>
    <xf numFmtId="14" fontId="21" fillId="0" borderId="34" xfId="0" applyNumberFormat="1" applyFont="1" applyBorder="1" applyAlignment="1">
      <alignment horizontal="center" vertical="center"/>
    </xf>
    <xf numFmtId="14" fontId="21" fillId="0" borderId="35" xfId="0" applyNumberFormat="1" applyFont="1" applyBorder="1" applyAlignment="1">
      <alignment horizontal="center" vertical="center"/>
    </xf>
    <xf numFmtId="0" fontId="4" fillId="0" borderId="33" xfId="0" applyFont="1" applyBorder="1" applyAlignment="1">
      <alignment horizontal="center" vertical="center"/>
    </xf>
    <xf numFmtId="0" fontId="4" fillId="0" borderId="34" xfId="0" applyFont="1" applyBorder="1" applyAlignment="1">
      <alignment horizontal="center" vertical="center"/>
    </xf>
    <xf numFmtId="0" fontId="4" fillId="0" borderId="35" xfId="0" applyFont="1" applyBorder="1" applyAlignment="1">
      <alignment horizontal="center" vertical="center"/>
    </xf>
    <xf numFmtId="0" fontId="25" fillId="6" borderId="0" xfId="0" applyFont="1" applyFill="1" applyAlignment="1" applyProtection="1">
      <alignment horizontal="left" vertical="center"/>
      <protection locked="0"/>
    </xf>
    <xf numFmtId="0" fontId="21" fillId="0" borderId="33" xfId="0" applyFont="1" applyBorder="1" applyAlignment="1">
      <alignment horizontal="center" vertical="center"/>
    </xf>
    <xf numFmtId="0" fontId="21" fillId="0" borderId="35" xfId="0" applyFont="1" applyBorder="1" applyAlignment="1">
      <alignment horizontal="center" vertical="center"/>
    </xf>
    <xf numFmtId="1" fontId="25" fillId="6" borderId="29" xfId="0" applyNumberFormat="1" applyFont="1" applyFill="1" applyBorder="1" applyAlignment="1">
      <alignment horizontal="center" vertical="center"/>
    </xf>
    <xf numFmtId="1" fontId="25" fillId="6" borderId="30" xfId="0" applyNumberFormat="1" applyFont="1" applyFill="1" applyBorder="1" applyAlignment="1">
      <alignment horizontal="center" vertical="center"/>
    </xf>
    <xf numFmtId="0" fontId="32" fillId="2" borderId="7" xfId="0" applyFont="1" applyFill="1" applyBorder="1" applyAlignment="1" applyProtection="1">
      <alignment horizontal="center" vertical="center"/>
      <protection locked="0"/>
    </xf>
    <xf numFmtId="0" fontId="32" fillId="2" borderId="8" xfId="0" applyFont="1" applyFill="1" applyBorder="1" applyAlignment="1" applyProtection="1">
      <alignment horizontal="center" vertical="center"/>
      <protection locked="0"/>
    </xf>
    <xf numFmtId="0" fontId="32" fillId="2" borderId="29" xfId="0" applyFont="1" applyFill="1" applyBorder="1" applyAlignment="1" applyProtection="1">
      <alignment horizontal="center" vertical="center"/>
      <protection locked="0"/>
    </xf>
    <xf numFmtId="0" fontId="32" fillId="2" borderId="30" xfId="0" applyFont="1" applyFill="1" applyBorder="1" applyAlignment="1" applyProtection="1">
      <alignment horizontal="center" vertical="center"/>
      <protection locked="0"/>
    </xf>
    <xf numFmtId="0" fontId="32" fillId="2" borderId="9" xfId="0" applyFont="1" applyFill="1" applyBorder="1" applyAlignment="1" applyProtection="1">
      <alignment horizontal="center" vertical="center"/>
      <protection locked="0"/>
    </xf>
    <xf numFmtId="0" fontId="32" fillId="2" borderId="10" xfId="0" applyFont="1" applyFill="1" applyBorder="1" applyAlignment="1" applyProtection="1">
      <alignment horizontal="center" vertical="center"/>
      <protection locked="0"/>
    </xf>
    <xf numFmtId="1" fontId="26" fillId="2" borderId="3" xfId="0" applyNumberFormat="1" applyFont="1" applyFill="1" applyBorder="1" applyAlignment="1" applyProtection="1">
      <alignment horizontal="center" vertical="center"/>
      <protection locked="0"/>
    </xf>
    <xf numFmtId="0" fontId="4" fillId="6" borderId="39" xfId="0" applyFont="1" applyFill="1" applyBorder="1" applyAlignment="1">
      <alignment horizontal="center" vertical="center" textRotation="90"/>
    </xf>
    <xf numFmtId="0" fontId="4" fillId="6" borderId="40" xfId="0" applyFont="1" applyFill="1" applyBorder="1" applyAlignment="1">
      <alignment horizontal="center" vertical="center" textRotation="90"/>
    </xf>
    <xf numFmtId="0" fontId="4" fillId="6" borderId="43" xfId="0" applyFont="1" applyFill="1" applyBorder="1" applyAlignment="1">
      <alignment horizontal="center" vertical="center" textRotation="90"/>
    </xf>
    <xf numFmtId="0" fontId="4" fillId="6" borderId="2" xfId="0" applyFont="1" applyFill="1" applyBorder="1" applyAlignment="1">
      <alignment horizontal="center" vertical="center" textRotation="90"/>
    </xf>
    <xf numFmtId="0" fontId="4" fillId="6" borderId="41" xfId="0" applyFont="1" applyFill="1" applyBorder="1" applyAlignment="1">
      <alignment horizontal="center" vertical="center" textRotation="90" wrapText="1"/>
    </xf>
    <xf numFmtId="0" fontId="4" fillId="6" borderId="42" xfId="0" applyFont="1" applyFill="1" applyBorder="1" applyAlignment="1">
      <alignment horizontal="center" vertical="center" textRotation="90" wrapText="1"/>
    </xf>
    <xf numFmtId="0" fontId="4" fillId="6" borderId="29" xfId="0" applyFont="1" applyFill="1" applyBorder="1" applyAlignment="1">
      <alignment horizontal="center" vertical="center" textRotation="90" wrapText="1"/>
    </xf>
    <xf numFmtId="0" fontId="4" fillId="6" borderId="30" xfId="0" applyFont="1" applyFill="1" applyBorder="1" applyAlignment="1">
      <alignment horizontal="center" vertical="center" textRotation="90" wrapText="1"/>
    </xf>
    <xf numFmtId="0" fontId="4" fillId="6" borderId="9" xfId="0" applyFont="1" applyFill="1" applyBorder="1" applyAlignment="1">
      <alignment horizontal="center" vertical="center" textRotation="90" wrapText="1"/>
    </xf>
    <xf numFmtId="0" fontId="4" fillId="6" borderId="10" xfId="0" applyFont="1" applyFill="1" applyBorder="1" applyAlignment="1">
      <alignment horizontal="center" vertical="center" textRotation="90" wrapText="1"/>
    </xf>
    <xf numFmtId="0" fontId="4" fillId="6" borderId="25" xfId="0" applyFont="1" applyFill="1" applyBorder="1" applyAlignment="1">
      <alignment horizontal="center" vertical="center"/>
    </xf>
    <xf numFmtId="0" fontId="4" fillId="6" borderId="18" xfId="0" applyFont="1" applyFill="1" applyBorder="1" applyAlignment="1">
      <alignment horizontal="center" vertical="center"/>
    </xf>
    <xf numFmtId="0" fontId="4" fillId="6" borderId="26" xfId="0" applyFont="1" applyFill="1" applyBorder="1" applyAlignment="1">
      <alignment horizontal="center" vertical="center"/>
    </xf>
    <xf numFmtId="0" fontId="4" fillId="6" borderId="19" xfId="0" applyFont="1" applyFill="1" applyBorder="1" applyAlignment="1">
      <alignment horizontal="center" vertical="center"/>
    </xf>
    <xf numFmtId="0" fontId="4" fillId="6" borderId="7" xfId="0" applyFont="1" applyFill="1" applyBorder="1" applyAlignment="1">
      <alignment horizontal="center" vertical="center" textRotation="90" wrapText="1"/>
    </xf>
    <xf numFmtId="0" fontId="4" fillId="6" borderId="8" xfId="0" applyFont="1" applyFill="1" applyBorder="1" applyAlignment="1">
      <alignment horizontal="center" vertical="center" textRotation="90" wrapText="1"/>
    </xf>
    <xf numFmtId="0" fontId="25" fillId="6" borderId="3" xfId="0" applyFont="1" applyFill="1" applyBorder="1" applyAlignment="1">
      <alignment horizontal="center" vertical="center" textRotation="90" wrapText="1"/>
    </xf>
    <xf numFmtId="0" fontId="25" fillId="6" borderId="45" xfId="0" applyFont="1" applyFill="1" applyBorder="1" applyAlignment="1">
      <alignment horizontal="center" vertical="center" textRotation="90" wrapText="1"/>
    </xf>
    <xf numFmtId="0" fontId="25" fillId="6" borderId="4" xfId="0" applyFont="1" applyFill="1" applyBorder="1" applyAlignment="1">
      <alignment horizontal="center" vertical="center" textRotation="90" wrapText="1"/>
    </xf>
    <xf numFmtId="0" fontId="4" fillId="6" borderId="2" xfId="0" applyFont="1" applyFill="1" applyBorder="1" applyAlignment="1">
      <alignment horizontal="center" vertical="center" wrapText="1"/>
    </xf>
    <xf numFmtId="0" fontId="4" fillId="6" borderId="2" xfId="0" applyFont="1" applyFill="1" applyBorder="1" applyAlignment="1">
      <alignment horizontal="center" vertical="center"/>
    </xf>
    <xf numFmtId="0" fontId="4" fillId="0" borderId="7" xfId="0" applyFont="1" applyBorder="1" applyAlignment="1">
      <alignment horizontal="center" vertical="center" wrapText="1"/>
    </xf>
    <xf numFmtId="0" fontId="4" fillId="0" borderId="8" xfId="0" applyFont="1" applyBorder="1" applyAlignment="1">
      <alignment horizontal="center" vertical="center" wrapText="1"/>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6" borderId="44" xfId="0" applyFont="1" applyFill="1" applyBorder="1" applyAlignment="1">
      <alignment horizontal="center" vertical="center"/>
    </xf>
    <xf numFmtId="164" fontId="25" fillId="6" borderId="46" xfId="0" applyNumberFormat="1" applyFont="1" applyFill="1" applyBorder="1" applyAlignment="1">
      <alignment horizontal="center" vertical="center"/>
    </xf>
    <xf numFmtId="164" fontId="25" fillId="6" borderId="8" xfId="0" applyNumberFormat="1" applyFont="1" applyFill="1" applyBorder="1" applyAlignment="1">
      <alignment horizontal="center" vertical="center"/>
    </xf>
    <xf numFmtId="164" fontId="25" fillId="6" borderId="14" xfId="0" applyNumberFormat="1" applyFont="1" applyFill="1" applyBorder="1" applyAlignment="1">
      <alignment horizontal="center" vertical="center"/>
    </xf>
    <xf numFmtId="164" fontId="25" fillId="6" borderId="30" xfId="0" applyNumberFormat="1" applyFont="1" applyFill="1" applyBorder="1" applyAlignment="1">
      <alignment horizontal="center" vertical="center"/>
    </xf>
    <xf numFmtId="164" fontId="25" fillId="6" borderId="48" xfId="0" applyNumberFormat="1" applyFont="1" applyFill="1" applyBorder="1" applyAlignment="1">
      <alignment horizontal="center" vertical="center"/>
    </xf>
    <xf numFmtId="164" fontId="25" fillId="6" borderId="10" xfId="0" applyNumberFormat="1" applyFont="1" applyFill="1" applyBorder="1" applyAlignment="1">
      <alignment horizontal="center" vertical="center"/>
    </xf>
    <xf numFmtId="0" fontId="26" fillId="2" borderId="47" xfId="0" applyFont="1" applyFill="1" applyBorder="1" applyAlignment="1" applyProtection="1">
      <alignment horizontal="center" vertical="center"/>
      <protection locked="0"/>
    </xf>
    <xf numFmtId="164" fontId="25" fillId="6" borderId="16" xfId="0" applyNumberFormat="1" applyFont="1" applyFill="1" applyBorder="1" applyAlignment="1">
      <alignment horizontal="center" vertical="center"/>
    </xf>
    <xf numFmtId="164" fontId="25" fillId="6" borderId="50" xfId="0" applyNumberFormat="1" applyFont="1" applyFill="1" applyBorder="1" applyAlignment="1">
      <alignment horizontal="center" vertical="center"/>
    </xf>
    <xf numFmtId="0" fontId="21" fillId="6" borderId="7" xfId="0" applyFont="1" applyFill="1" applyBorder="1" applyAlignment="1">
      <alignment horizontal="center" vertical="center" wrapText="1"/>
    </xf>
    <xf numFmtId="0" fontId="21" fillId="6" borderId="27" xfId="0" applyFont="1" applyFill="1" applyBorder="1" applyAlignment="1">
      <alignment horizontal="center" vertical="center" wrapText="1"/>
    </xf>
    <xf numFmtId="0" fontId="21" fillId="6" borderId="8" xfId="0" applyFont="1" applyFill="1" applyBorder="1" applyAlignment="1">
      <alignment horizontal="center" vertical="center" wrapText="1"/>
    </xf>
    <xf numFmtId="0" fontId="21" fillId="6" borderId="9" xfId="0" applyFont="1" applyFill="1" applyBorder="1" applyAlignment="1">
      <alignment horizontal="center" vertical="center" wrapText="1"/>
    </xf>
    <xf numFmtId="0" fontId="21" fillId="6" borderId="28" xfId="0" applyFont="1" applyFill="1" applyBorder="1" applyAlignment="1">
      <alignment horizontal="center" vertical="center" wrapText="1"/>
    </xf>
    <xf numFmtId="0" fontId="21" fillId="6" borderId="10" xfId="0" applyFont="1" applyFill="1" applyBorder="1" applyAlignment="1">
      <alignment horizontal="center" vertical="center" wrapText="1"/>
    </xf>
    <xf numFmtId="0" fontId="27" fillId="2" borderId="7" xfId="2" applyNumberFormat="1" applyFont="1" applyFill="1" applyBorder="1" applyAlignment="1" applyProtection="1">
      <alignment horizontal="center" vertical="center" wrapText="1"/>
      <protection locked="0"/>
    </xf>
    <xf numFmtId="0" fontId="27" fillId="2" borderId="8" xfId="2" applyNumberFormat="1" applyFont="1" applyFill="1" applyBorder="1" applyAlignment="1" applyProtection="1">
      <alignment horizontal="center" vertical="center" wrapText="1"/>
      <protection locked="0"/>
    </xf>
    <xf numFmtId="0" fontId="27" fillId="2" borderId="9" xfId="2" applyNumberFormat="1" applyFont="1" applyFill="1" applyBorder="1" applyAlignment="1" applyProtection="1">
      <alignment horizontal="center" vertical="center" wrapText="1"/>
      <protection locked="0"/>
    </xf>
    <xf numFmtId="0" fontId="27" fillId="2" borderId="10" xfId="2" applyNumberFormat="1" applyFont="1" applyFill="1" applyBorder="1" applyAlignment="1" applyProtection="1">
      <alignment horizontal="center" vertical="center" wrapText="1"/>
      <protection locked="0"/>
    </xf>
    <xf numFmtId="0" fontId="28" fillId="6" borderId="5" xfId="0" applyFont="1" applyFill="1" applyBorder="1" applyAlignment="1" applyProtection="1">
      <alignment horizontal="center" vertical="center" wrapText="1"/>
      <protection locked="0"/>
    </xf>
    <xf numFmtId="0" fontId="28" fillId="6" borderId="31" xfId="0" applyFont="1" applyFill="1" applyBorder="1" applyAlignment="1" applyProtection="1">
      <alignment horizontal="center" vertical="center" wrapText="1"/>
      <protection locked="0"/>
    </xf>
    <xf numFmtId="0" fontId="28" fillId="6" borderId="6" xfId="0" applyFont="1" applyFill="1" applyBorder="1" applyAlignment="1" applyProtection="1">
      <alignment horizontal="center" vertical="center" wrapText="1"/>
      <protection locked="0"/>
    </xf>
    <xf numFmtId="0" fontId="26" fillId="2" borderId="5" xfId="0" applyFont="1" applyFill="1" applyBorder="1" applyAlignment="1" applyProtection="1">
      <alignment horizontal="center" vertical="center"/>
      <protection locked="0"/>
    </xf>
    <xf numFmtId="0" fontId="26" fillId="2" borderId="31" xfId="0" applyFont="1" applyFill="1" applyBorder="1" applyAlignment="1" applyProtection="1">
      <alignment horizontal="center" vertical="center"/>
      <protection locked="0"/>
    </xf>
    <xf numFmtId="0" fontId="26" fillId="2" borderId="6" xfId="0" applyFont="1" applyFill="1" applyBorder="1" applyAlignment="1" applyProtection="1">
      <alignment horizontal="center" vertical="center"/>
      <protection locked="0"/>
    </xf>
    <xf numFmtId="10" fontId="27" fillId="8" borderId="7" xfId="2" applyNumberFormat="1" applyFont="1" applyFill="1" applyBorder="1" applyAlignment="1" applyProtection="1">
      <alignment horizontal="center" vertical="center"/>
    </xf>
    <xf numFmtId="10" fontId="27" fillId="8" borderId="8" xfId="2" applyNumberFormat="1" applyFont="1" applyFill="1" applyBorder="1" applyAlignment="1" applyProtection="1">
      <alignment horizontal="center" vertical="center"/>
    </xf>
    <xf numFmtId="10" fontId="27" fillId="8" borderId="9" xfId="2" applyNumberFormat="1" applyFont="1" applyFill="1" applyBorder="1" applyAlignment="1" applyProtection="1">
      <alignment horizontal="center" vertical="center"/>
    </xf>
    <xf numFmtId="10" fontId="27" fillId="8" borderId="10" xfId="2" applyNumberFormat="1" applyFont="1" applyFill="1" applyBorder="1" applyAlignment="1" applyProtection="1">
      <alignment horizontal="center" vertical="center"/>
    </xf>
    <xf numFmtId="0" fontId="26" fillId="6" borderId="51" xfId="0" applyFont="1" applyFill="1" applyBorder="1" applyAlignment="1">
      <alignment horizontal="center" vertical="center"/>
    </xf>
    <xf numFmtId="0" fontId="26" fillId="6" borderId="50" xfId="0" applyFont="1" applyFill="1" applyBorder="1" applyAlignment="1">
      <alignment horizontal="center" vertical="center"/>
    </xf>
    <xf numFmtId="1" fontId="25" fillId="7" borderId="7" xfId="0" applyNumberFormat="1" applyFont="1" applyFill="1" applyBorder="1" applyAlignment="1">
      <alignment horizontal="center" vertical="center"/>
    </xf>
    <xf numFmtId="1" fontId="25" fillId="7" borderId="8" xfId="0" applyNumberFormat="1" applyFont="1" applyFill="1" applyBorder="1" applyAlignment="1">
      <alignment horizontal="center" vertical="center"/>
    </xf>
    <xf numFmtId="1" fontId="25" fillId="7" borderId="51" xfId="0" applyNumberFormat="1" applyFont="1" applyFill="1" applyBorder="1" applyAlignment="1">
      <alignment horizontal="center" vertical="center"/>
    </xf>
    <xf numFmtId="1" fontId="25" fillId="7" borderId="50" xfId="0" applyNumberFormat="1" applyFont="1" applyFill="1" applyBorder="1" applyAlignment="1">
      <alignment horizontal="center" vertical="center"/>
    </xf>
    <xf numFmtId="1" fontId="26" fillId="2" borderId="30" xfId="0" applyNumberFormat="1" applyFont="1" applyFill="1" applyBorder="1" applyAlignment="1" applyProtection="1">
      <alignment horizontal="center" vertical="center"/>
      <protection locked="0"/>
    </xf>
    <xf numFmtId="0" fontId="4" fillId="6" borderId="7" xfId="0" applyFont="1" applyFill="1" applyBorder="1" applyAlignment="1" applyProtection="1">
      <alignment horizontal="center" vertical="center" wrapText="1"/>
      <protection locked="0"/>
    </xf>
    <xf numFmtId="0" fontId="4" fillId="6" borderId="27" xfId="0" applyFont="1" applyFill="1" applyBorder="1" applyAlignment="1" applyProtection="1">
      <alignment horizontal="center" vertical="center"/>
      <protection locked="0"/>
    </xf>
    <xf numFmtId="0" fontId="4" fillId="6" borderId="8" xfId="0" applyFont="1" applyFill="1" applyBorder="1" applyAlignment="1" applyProtection="1">
      <alignment horizontal="center" vertical="center"/>
      <protection locked="0"/>
    </xf>
    <xf numFmtId="0" fontId="4" fillId="6" borderId="29" xfId="0" applyFont="1" applyFill="1" applyBorder="1" applyAlignment="1" applyProtection="1">
      <alignment horizontal="center" vertical="center"/>
      <protection locked="0"/>
    </xf>
    <xf numFmtId="0" fontId="4" fillId="6" borderId="0" xfId="0" applyFont="1" applyFill="1" applyAlignment="1" applyProtection="1">
      <alignment horizontal="center" vertical="center"/>
      <protection locked="0"/>
    </xf>
    <xf numFmtId="0" fontId="4" fillId="6" borderId="30" xfId="0" applyFont="1" applyFill="1" applyBorder="1" applyAlignment="1" applyProtection="1">
      <alignment horizontal="center" vertical="center"/>
      <protection locked="0"/>
    </xf>
    <xf numFmtId="0" fontId="4" fillId="6" borderId="9" xfId="0" applyFont="1" applyFill="1" applyBorder="1" applyAlignment="1" applyProtection="1">
      <alignment horizontal="center" vertical="center"/>
      <protection locked="0"/>
    </xf>
    <xf numFmtId="0" fontId="4" fillId="6" borderId="28" xfId="0" applyFont="1" applyFill="1" applyBorder="1" applyAlignment="1" applyProtection="1">
      <alignment horizontal="center" vertical="center"/>
      <protection locked="0"/>
    </xf>
    <xf numFmtId="0" fontId="4" fillId="6" borderId="10" xfId="0" applyFont="1" applyFill="1" applyBorder="1" applyAlignment="1" applyProtection="1">
      <alignment horizontal="center" vertical="center"/>
      <protection locked="0"/>
    </xf>
    <xf numFmtId="1" fontId="26" fillId="2" borderId="50" xfId="0" applyNumberFormat="1" applyFont="1" applyFill="1" applyBorder="1" applyAlignment="1" applyProtection="1">
      <alignment horizontal="center" vertical="center"/>
      <protection locked="0"/>
    </xf>
    <xf numFmtId="1" fontId="26" fillId="2" borderId="52" xfId="0" applyNumberFormat="1" applyFont="1" applyFill="1" applyBorder="1" applyAlignment="1" applyProtection="1">
      <alignment horizontal="center" vertical="center"/>
      <protection locked="0"/>
    </xf>
    <xf numFmtId="0" fontId="26" fillId="2" borderId="51" xfId="0" applyFont="1" applyFill="1" applyBorder="1" applyAlignment="1" applyProtection="1">
      <alignment horizontal="center" vertical="center"/>
      <protection locked="0"/>
    </xf>
    <xf numFmtId="0" fontId="26" fillId="2" borderId="32" xfId="0" applyFont="1" applyFill="1" applyBorder="1" applyAlignment="1" applyProtection="1">
      <alignment horizontal="center" vertical="center"/>
      <protection locked="0"/>
    </xf>
    <xf numFmtId="0" fontId="26" fillId="2" borderId="50" xfId="0" applyFont="1" applyFill="1" applyBorder="1" applyAlignment="1" applyProtection="1">
      <alignment horizontal="center" vertical="center"/>
      <protection locked="0"/>
    </xf>
    <xf numFmtId="0" fontId="26" fillId="2" borderId="17" xfId="0" applyFont="1" applyFill="1" applyBorder="1" applyAlignment="1" applyProtection="1">
      <alignment horizontal="center" vertical="center"/>
      <protection locked="0"/>
    </xf>
    <xf numFmtId="0" fontId="20" fillId="4" borderId="7" xfId="0" applyFont="1" applyFill="1" applyBorder="1" applyAlignment="1">
      <alignment horizontal="center" vertical="center"/>
    </xf>
    <xf numFmtId="0" fontId="20" fillId="4" borderId="27" xfId="0" applyFont="1" applyFill="1" applyBorder="1" applyAlignment="1">
      <alignment horizontal="center" vertical="center"/>
    </xf>
    <xf numFmtId="0" fontId="20" fillId="4" borderId="8" xfId="0" applyFont="1" applyFill="1" applyBorder="1" applyAlignment="1">
      <alignment horizontal="center" vertical="center"/>
    </xf>
    <xf numFmtId="0" fontId="20" fillId="4" borderId="9" xfId="0" applyFont="1" applyFill="1" applyBorder="1" applyAlignment="1">
      <alignment horizontal="center" vertical="center"/>
    </xf>
    <xf numFmtId="0" fontId="20" fillId="4" borderId="28" xfId="0" applyFont="1" applyFill="1" applyBorder="1" applyAlignment="1">
      <alignment horizontal="center" vertical="center"/>
    </xf>
    <xf numFmtId="0" fontId="20" fillId="4" borderId="10" xfId="0" applyFont="1" applyFill="1" applyBorder="1" applyAlignment="1">
      <alignment horizontal="center" vertical="center"/>
    </xf>
    <xf numFmtId="1" fontId="27" fillId="6" borderId="41" xfId="0" applyNumberFormat="1" applyFont="1" applyFill="1" applyBorder="1" applyAlignment="1">
      <alignment horizontal="center" vertical="center"/>
    </xf>
    <xf numFmtId="0" fontId="27" fillId="6" borderId="42" xfId="0" applyFont="1" applyFill="1" applyBorder="1" applyAlignment="1">
      <alignment horizontal="center" vertical="center"/>
    </xf>
    <xf numFmtId="0" fontId="27" fillId="6" borderId="9" xfId="0" applyFont="1" applyFill="1" applyBorder="1" applyAlignment="1">
      <alignment horizontal="center" vertical="center"/>
    </xf>
    <xf numFmtId="0" fontId="27" fillId="6" borderId="10" xfId="0" applyFont="1" applyFill="1" applyBorder="1" applyAlignment="1">
      <alignment horizontal="center" vertical="center"/>
    </xf>
    <xf numFmtId="0" fontId="27" fillId="6" borderId="45" xfId="0" applyFont="1" applyFill="1" applyBorder="1" applyAlignment="1">
      <alignment horizontal="center" vertical="center"/>
    </xf>
    <xf numFmtId="0" fontId="27" fillId="6" borderId="4" xfId="0" applyFont="1" applyFill="1" applyBorder="1" applyAlignment="1">
      <alignment horizontal="center" vertical="center"/>
    </xf>
    <xf numFmtId="1" fontId="27" fillId="6" borderId="45" xfId="0" applyNumberFormat="1" applyFont="1" applyFill="1" applyBorder="1" applyAlignment="1">
      <alignment horizontal="center" vertical="center"/>
    </xf>
    <xf numFmtId="0" fontId="27" fillId="2" borderId="7" xfId="0" applyFont="1" applyFill="1" applyBorder="1" applyAlignment="1" applyProtection="1">
      <alignment horizontal="center" vertical="center" wrapText="1"/>
      <protection locked="0"/>
    </xf>
    <xf numFmtId="0" fontId="27" fillId="2" borderId="8" xfId="0" applyFont="1" applyFill="1" applyBorder="1" applyAlignment="1" applyProtection="1">
      <alignment horizontal="center" vertical="center" wrapText="1"/>
      <protection locked="0"/>
    </xf>
    <xf numFmtId="0" fontId="27" fillId="2" borderId="9" xfId="0" applyFont="1" applyFill="1" applyBorder="1" applyAlignment="1" applyProtection="1">
      <alignment horizontal="center" vertical="center" wrapText="1"/>
      <protection locked="0"/>
    </xf>
    <xf numFmtId="0" fontId="27" fillId="2" borderId="10" xfId="0" applyFont="1" applyFill="1" applyBorder="1" applyAlignment="1" applyProtection="1">
      <alignment horizontal="center" vertical="center" wrapText="1"/>
      <protection locked="0"/>
    </xf>
    <xf numFmtId="166" fontId="27" fillId="8" borderId="7" xfId="2" applyNumberFormat="1" applyFont="1" applyFill="1" applyBorder="1" applyAlignment="1" applyProtection="1">
      <alignment horizontal="center" vertical="center"/>
    </xf>
    <xf numFmtId="166" fontId="27" fillId="8" borderId="8" xfId="2" applyNumberFormat="1" applyFont="1" applyFill="1" applyBorder="1" applyAlignment="1" applyProtection="1">
      <alignment horizontal="center" vertical="center"/>
    </xf>
    <xf numFmtId="166" fontId="27" fillId="8" borderId="9" xfId="2" applyNumberFormat="1" applyFont="1" applyFill="1" applyBorder="1" applyAlignment="1" applyProtection="1">
      <alignment horizontal="center" vertical="center"/>
    </xf>
    <xf numFmtId="166" fontId="27" fillId="8" borderId="10" xfId="2" applyNumberFormat="1" applyFont="1" applyFill="1" applyBorder="1" applyAlignment="1" applyProtection="1">
      <alignment horizontal="center" vertical="center"/>
    </xf>
    <xf numFmtId="9" fontId="27" fillId="8" borderId="7" xfId="2" applyFont="1" applyFill="1" applyBorder="1" applyAlignment="1" applyProtection="1">
      <alignment horizontal="center" vertical="center"/>
    </xf>
    <xf numFmtId="9" fontId="27" fillId="8" borderId="8" xfId="2" applyFont="1" applyFill="1" applyBorder="1" applyAlignment="1" applyProtection="1">
      <alignment horizontal="center" vertical="center"/>
    </xf>
    <xf numFmtId="9" fontId="27" fillId="8" borderId="9" xfId="2" applyFont="1" applyFill="1" applyBorder="1" applyAlignment="1" applyProtection="1">
      <alignment horizontal="center" vertical="center"/>
    </xf>
    <xf numFmtId="9" fontId="27" fillId="8" borderId="10" xfId="2" applyFont="1" applyFill="1" applyBorder="1" applyAlignment="1" applyProtection="1">
      <alignment horizontal="center" vertical="center"/>
    </xf>
    <xf numFmtId="1" fontId="27" fillId="8" borderId="7" xfId="0" applyNumberFormat="1" applyFont="1" applyFill="1" applyBorder="1" applyAlignment="1">
      <alignment horizontal="center" vertical="center"/>
    </xf>
    <xf numFmtId="1" fontId="27" fillId="8" borderId="8" xfId="0" applyNumberFormat="1" applyFont="1" applyFill="1" applyBorder="1" applyAlignment="1">
      <alignment horizontal="center" vertical="center"/>
    </xf>
    <xf numFmtId="1" fontId="27" fillId="8" borderId="9" xfId="0" applyNumberFormat="1" applyFont="1" applyFill="1" applyBorder="1" applyAlignment="1">
      <alignment horizontal="center" vertical="center"/>
    </xf>
    <xf numFmtId="1" fontId="27" fillId="8" borderId="10" xfId="0" applyNumberFormat="1" applyFont="1" applyFill="1" applyBorder="1" applyAlignment="1">
      <alignment horizontal="center" vertical="center"/>
    </xf>
    <xf numFmtId="0" fontId="4" fillId="8" borderId="7" xfId="0" applyFont="1" applyFill="1" applyBorder="1" applyAlignment="1">
      <alignment horizontal="center" vertical="center"/>
    </xf>
    <xf numFmtId="0" fontId="4" fillId="8" borderId="27" xfId="0" applyFont="1" applyFill="1" applyBorder="1" applyAlignment="1">
      <alignment horizontal="center" vertical="center"/>
    </xf>
    <xf numFmtId="0" fontId="4" fillId="8" borderId="8" xfId="0" applyFont="1" applyFill="1" applyBorder="1" applyAlignment="1">
      <alignment horizontal="center" vertical="center"/>
    </xf>
    <xf numFmtId="0" fontId="4" fillId="8" borderId="9" xfId="0" applyFont="1" applyFill="1" applyBorder="1" applyAlignment="1">
      <alignment horizontal="center" vertical="center"/>
    </xf>
    <xf numFmtId="0" fontId="4" fillId="8" borderId="28" xfId="0" applyFont="1" applyFill="1" applyBorder="1" applyAlignment="1">
      <alignment horizontal="center" vertical="center"/>
    </xf>
    <xf numFmtId="0" fontId="4" fillId="8" borderId="10" xfId="0" applyFont="1" applyFill="1" applyBorder="1" applyAlignment="1">
      <alignment horizontal="center" vertical="center"/>
    </xf>
    <xf numFmtId="0" fontId="27" fillId="8" borderId="7" xfId="2" applyNumberFormat="1" applyFont="1" applyFill="1" applyBorder="1" applyAlignment="1" applyProtection="1">
      <alignment horizontal="center" vertical="center"/>
    </xf>
    <xf numFmtId="0" fontId="27" fillId="8" borderId="8" xfId="2" applyNumberFormat="1" applyFont="1" applyFill="1" applyBorder="1" applyAlignment="1" applyProtection="1">
      <alignment horizontal="center" vertical="center"/>
    </xf>
    <xf numFmtId="0" fontId="27" fillId="8" borderId="9" xfId="2" applyNumberFormat="1" applyFont="1" applyFill="1" applyBorder="1" applyAlignment="1" applyProtection="1">
      <alignment horizontal="center" vertical="center"/>
    </xf>
    <xf numFmtId="0" fontId="27" fillId="8" borderId="10" xfId="2" applyNumberFormat="1" applyFont="1" applyFill="1" applyBorder="1" applyAlignment="1" applyProtection="1">
      <alignment horizontal="center" vertical="center"/>
    </xf>
    <xf numFmtId="0" fontId="4" fillId="6" borderId="7" xfId="0" applyFont="1" applyFill="1" applyBorder="1" applyAlignment="1">
      <alignment horizontal="center" vertical="center"/>
    </xf>
    <xf numFmtId="0" fontId="4" fillId="6" borderId="27" xfId="0" applyFont="1" applyFill="1" applyBorder="1" applyAlignment="1">
      <alignment horizontal="center" vertical="center"/>
    </xf>
    <xf numFmtId="0" fontId="4" fillId="6" borderId="8" xfId="0" applyFont="1" applyFill="1" applyBorder="1" applyAlignment="1">
      <alignment horizontal="center" vertical="center"/>
    </xf>
    <xf numFmtId="0" fontId="4" fillId="6" borderId="9" xfId="0" applyFont="1" applyFill="1" applyBorder="1" applyAlignment="1">
      <alignment horizontal="center" vertical="center"/>
    </xf>
    <xf numFmtId="0" fontId="4" fillId="6" borderId="28" xfId="0" applyFont="1" applyFill="1" applyBorder="1" applyAlignment="1">
      <alignment horizontal="center" vertical="center"/>
    </xf>
    <xf numFmtId="0" fontId="4" fillId="6" borderId="10" xfId="0" applyFont="1" applyFill="1" applyBorder="1" applyAlignment="1">
      <alignment horizontal="center" vertical="center"/>
    </xf>
    <xf numFmtId="165" fontId="27" fillId="8" borderId="7" xfId="0" applyNumberFormat="1" applyFont="1" applyFill="1" applyBorder="1" applyAlignment="1">
      <alignment horizontal="center" vertical="center"/>
    </xf>
    <xf numFmtId="165" fontId="27" fillId="8" borderId="8" xfId="0" applyNumberFormat="1" applyFont="1" applyFill="1" applyBorder="1" applyAlignment="1">
      <alignment horizontal="center" vertical="center"/>
    </xf>
    <xf numFmtId="165" fontId="27" fillId="8" borderId="9" xfId="0" applyNumberFormat="1" applyFont="1" applyFill="1" applyBorder="1" applyAlignment="1">
      <alignment horizontal="center" vertical="center"/>
    </xf>
    <xf numFmtId="165" fontId="27" fillId="8" borderId="10" xfId="0" applyNumberFormat="1" applyFont="1" applyFill="1" applyBorder="1" applyAlignment="1">
      <alignment horizontal="center" vertical="center"/>
    </xf>
  </cellXfs>
  <cellStyles count="5">
    <cellStyle name="Explanatory Text" xfId="3" builtinId="53"/>
    <cellStyle name="Normal" xfId="0" builtinId="0"/>
    <cellStyle name="Normal 2" xfId="4" xr:uid="{69F4DD95-7571-4D4C-B5F1-A5D5A7162992}"/>
    <cellStyle name="Normal 25" xfId="1" xr:uid="{74FBA867-D073-4317-B830-9B5D02DC172D}"/>
    <cellStyle name="Per cent" xfId="2" builtinId="5"/>
  </cellStyles>
  <dxfs count="570">
    <dxf>
      <numFmt numFmtId="19" formatCode="m/d/yyyy"/>
    </dxf>
    <dxf>
      <font>
        <b/>
        <i val="0"/>
        <color rgb="FFFF0000"/>
      </font>
      <fill>
        <patternFill>
          <bgColor theme="0"/>
        </patternFill>
      </fill>
      <border>
        <left style="thin">
          <color rgb="FFFF0000"/>
        </left>
        <right style="thin">
          <color rgb="FFFF0000"/>
        </right>
        <top style="thin">
          <color rgb="FFFF0000"/>
        </top>
        <bottom style="thin">
          <color rgb="FFFF0000"/>
        </bottom>
      </border>
    </dxf>
    <dxf>
      <font>
        <b/>
        <i val="0"/>
        <color rgb="FF00B050"/>
      </font>
      <fill>
        <patternFill>
          <bgColor theme="0"/>
        </patternFill>
      </fill>
      <border>
        <left style="thin">
          <color rgb="FF00B050"/>
        </left>
        <right style="thin">
          <color rgb="FF00B050"/>
        </right>
        <top style="thin">
          <color rgb="FF00B050"/>
        </top>
        <bottom style="thin">
          <color rgb="FF00B050"/>
        </bottom>
      </border>
    </dxf>
    <dxf>
      <numFmt numFmtId="25" formatCode="h:mm"/>
    </dxf>
    <dxf>
      <numFmt numFmtId="19" formatCode="m/d/yyyy"/>
    </dxf>
    <dxf>
      <fill>
        <patternFill patternType="solid">
          <fgColor indexed="64"/>
          <bgColor theme="0" tint="-4.9989318521683403E-2"/>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medium">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medium">
          <color indexed="64"/>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dashed">
          <color theme="0" tint="-0.24994659260841701"/>
        </top>
      </border>
    </dxf>
    <dxf>
      <border outline="0">
        <left style="thin">
          <color auto="1"/>
        </left>
        <right style="medium">
          <color indexed="64"/>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left style="thin">
          <color auto="1"/>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medium">
          <color indexed="64"/>
        </left>
        <right style="thin">
          <color auto="1"/>
        </right>
        <top style="thin">
          <color indexed="64"/>
        </top>
        <bottom style="medium">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diagonalUp="0" diagonalDown="0">
        <left style="thin">
          <color indexed="64"/>
        </left>
        <right style="thin">
          <color auto="1"/>
        </righ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indexed="64"/>
        </left>
        <top style="thin">
          <color indexed="64"/>
        </top>
        <bottom style="thin">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left/>
        <right/>
        <top style="dashed">
          <color theme="0" tint="-0.24994659260841701"/>
        </top>
        <bottom style="dashed">
          <color theme="0" tint="-0.24994659260841701"/>
        </bottom>
        <vertical/>
        <horizontal/>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top style="dashed">
          <color theme="0" tint="-0.24994659260841701"/>
        </top>
        <bottom style="dashed">
          <color theme="0" tint="-0.24994659260841701"/>
        </bottom>
      </border>
    </dxf>
    <dxf>
      <border outline="0">
        <top style="dashed">
          <color theme="0" tint="-0.24994659260841701"/>
        </top>
      </border>
    </dxf>
    <dxf>
      <border outline="0">
        <left style="thin">
          <color auto="1"/>
        </left>
        <right style="thin">
          <color auto="1"/>
        </right>
        <top style="thin">
          <color indexed="64"/>
        </top>
        <bottom style="thin">
          <color auto="1"/>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1"/>
        <name val="Arial"/>
        <family val="2"/>
        <scheme val="none"/>
      </font>
      <fill>
        <patternFill patternType="solid">
          <fgColor indexed="64"/>
          <bgColor theme="0" tint="-0.1499984740745262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fill>
        <patternFill patternType="solid">
          <fgColor indexed="64"/>
          <bgColor theme="0"/>
        </patternFill>
      </fill>
      <alignment horizontal="center" vertical="center" textRotation="0" wrapText="0" indent="0" justifyLastLine="0" shrinkToFit="0" readingOrder="0"/>
      <protection locked="1" hidden="0"/>
    </dxf>
    <dxf>
      <border>
        <bottom style="thin">
          <color indexed="64"/>
        </bottom>
      </border>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protection locked="1" hidden="0"/>
    </dxf>
    <dxf>
      <border diagonalUp="0" diagonalDown="0">
        <left style="thin">
          <color auto="1"/>
        </left>
        <right style="thin">
          <color auto="1"/>
        </right>
        <top style="thin">
          <color auto="1"/>
        </top>
        <bottom style="thin">
          <color auto="1"/>
        </bottom>
      </border>
    </dxf>
    <dxf>
      <fill>
        <patternFill patternType="solid">
          <fgColor indexed="64"/>
          <bgColor theme="0"/>
        </patternFill>
      </fill>
      <alignment horizontal="center" vertical="center" textRotation="0" wrapText="0" indent="0" justifyLastLine="0" shrinkToFit="0" readingOrder="0"/>
      <protection locked="1" hidden="0"/>
    </dxf>
    <dxf>
      <border>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center" vertical="center" textRotation="0" wrapText="0" indent="0" justifyLastLine="0" shrinkToFit="0" readingOrder="0"/>
      <protection locked="1" hidden="0"/>
    </dxf>
    <dxf>
      <border outline="0">
        <bottom style="thin">
          <color indexed="64"/>
        </bottom>
      </border>
    </dxf>
    <dxf>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style="thin">
          <color auto="1"/>
        </left>
        <right style="thin">
          <color auto="1"/>
        </right>
        <top style="dashed">
          <color theme="0" tint="-0.24994659260841701"/>
        </top>
        <bottom style="dashed">
          <color theme="0" tint="-0.24994659260841701"/>
        </bottom>
        <vertical/>
        <horizontal/>
      </border>
    </dxf>
    <dxf>
      <border outline="0">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style="thin">
          <color auto="1"/>
        </left>
        <right style="thin">
          <color auto="1"/>
        </right>
        <top style="dashed">
          <color theme="0" tint="-0.24994659260841701"/>
        </top>
        <bottom style="dashed">
          <color theme="0" tint="-0.24994659260841701"/>
        </bottom>
        <vertical/>
        <horizontal/>
      </border>
    </dxf>
    <dxf>
      <border outline="0">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border diagonalUp="0" diagonalDown="0">
        <left/>
        <right/>
        <top style="dashed">
          <color theme="0" tint="-0.24994659260841701"/>
        </top>
        <bottom/>
        <vertical/>
        <horizontal/>
      </border>
    </dxf>
    <dxf>
      <border outline="0">
        <left style="thin">
          <color indexed="64"/>
        </left>
        <right style="thin">
          <color indexed="64"/>
        </right>
        <top style="thin">
          <color indexed="64"/>
        </top>
        <bottom style="dashed">
          <color theme="0" tint="-0.24994659260841701"/>
        </bottom>
      </border>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i val="0"/>
        <strike val="0"/>
        <condense val="0"/>
        <extend val="0"/>
        <outline val="0"/>
        <shadow val="0"/>
        <u val="none"/>
        <vertAlign val="baseline"/>
        <sz val="10"/>
        <color theme="1"/>
        <name val="Roboto"/>
        <scheme val="none"/>
      </font>
      <fill>
        <patternFill patternType="solid">
          <fgColor indexed="64"/>
          <bgColor theme="3"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strike val="0"/>
        <outline val="0"/>
        <shadow val="0"/>
        <u val="none"/>
        <vertAlign val="baseline"/>
        <name val="Roboto"/>
        <scheme val="none"/>
      </font>
      <alignment horizontal="center" vertical="center" textRotation="0" wrapText="0" indent="0" justifyLastLine="0" shrinkToFit="0" readingOrder="0"/>
    </dxf>
    <dxf>
      <font>
        <b/>
        <i val="0"/>
      </font>
      <fill>
        <patternFill>
          <bgColor theme="9" tint="0.79998168889431442"/>
        </patternFill>
      </fill>
    </dxf>
    <dxf>
      <border>
        <left style="thin">
          <color auto="1"/>
        </left>
        <right style="thin">
          <color auto="1"/>
        </right>
        <top style="thin">
          <color auto="1"/>
        </top>
        <bottom style="thin">
          <color auto="1"/>
        </bottom>
        <horizontal style="dashed">
          <color theme="0" tint="-0.24994659260841701"/>
        </horizontal>
      </border>
    </dxf>
    <dxf>
      <font>
        <b/>
        <i val="0"/>
      </font>
      <fill>
        <patternFill>
          <bgColor theme="3" tint="0.79998168889431442"/>
        </patternFill>
      </fill>
    </dxf>
    <dxf>
      <border>
        <left style="thin">
          <color auto="1"/>
        </left>
        <right style="thin">
          <color auto="1"/>
        </right>
        <top style="thin">
          <color auto="1"/>
        </top>
        <bottom style="thin">
          <color auto="1"/>
        </bottom>
        <horizontal style="dashed">
          <color theme="0" tint="-0.24994659260841701"/>
        </horizontal>
      </border>
    </dxf>
  </dxfs>
  <tableStyles count="3" defaultTableStyle="TableStyleMedium2" defaultPivotStyle="PivotStyleLight16">
    <tableStyle name="Table Style 1" pivot="0" count="2" xr9:uid="{E37A05BF-049F-4174-ADE4-7D7D38905571}">
      <tableStyleElement type="wholeTable" dxfId="569"/>
      <tableStyleElement type="headerRow" dxfId="568"/>
    </tableStyle>
    <tableStyle name="Table Style 1 2" pivot="0" count="0" xr9:uid="{B8C10690-7FFA-4AA7-B1EC-CD60D933240C}"/>
    <tableStyle name="Table Style 2" pivot="0" count="2" xr9:uid="{A3C67603-1F3A-4DF1-AA2D-8400101E221D}">
      <tableStyleElement type="wholeTable" dxfId="567"/>
      <tableStyleElement type="headerRow" dxfId="566"/>
    </tableStyle>
  </tableStyles>
  <colors>
    <mruColors>
      <color rgb="FF92AB81"/>
      <color rgb="FFFFFFC9"/>
      <color rgb="FFD5FFD6"/>
      <color rgb="FFFEDADA"/>
      <color rgb="FF28B3BA"/>
      <color rgb="FF0A9E1C"/>
      <color rgb="FF098D19"/>
      <color rgb="FF0BB321"/>
      <color rgb="FF1BCC31"/>
      <color rgb="FFFDFF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24</xdr:col>
      <xdr:colOff>428625</xdr:colOff>
      <xdr:row>3</xdr:row>
      <xdr:rowOff>114300</xdr:rowOff>
    </xdr:from>
    <xdr:to>
      <xdr:col>26</xdr:col>
      <xdr:colOff>276225</xdr:colOff>
      <xdr:row>10</xdr:row>
      <xdr:rowOff>47625</xdr:rowOff>
    </xdr:to>
    <xdr:pic>
      <xdr:nvPicPr>
        <xdr:cNvPr id="3" name="Graphic 2" descr="No sign with solid fill">
          <a:extLst>
            <a:ext uri="{FF2B5EF4-FFF2-40B4-BE49-F238E27FC236}">
              <a16:creationId xmlns:a16="http://schemas.microsoft.com/office/drawing/2014/main" id="{9FB8C1FD-46AE-2BE5-34E6-94D2C4FF91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44600" y="485775"/>
          <a:ext cx="1066800" cy="1066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9525</xdr:colOff>
      <xdr:row>31</xdr:row>
      <xdr:rowOff>123824</xdr:rowOff>
    </xdr:from>
    <xdr:to>
      <xdr:col>26</xdr:col>
      <xdr:colOff>285750</xdr:colOff>
      <xdr:row>36</xdr:row>
      <xdr:rowOff>114300</xdr:rowOff>
    </xdr:to>
    <xdr:sp macro="[0]!generate_report" textlink="">
      <xdr:nvSpPr>
        <xdr:cNvPr id="4" name="btn_gerar_relatório">
          <a:extLst>
            <a:ext uri="{FF2B5EF4-FFF2-40B4-BE49-F238E27FC236}">
              <a16:creationId xmlns:a16="http://schemas.microsoft.com/office/drawing/2014/main" id="{14182C63-8D7A-493C-A9A4-50EB009EC4FD}"/>
            </a:ext>
          </a:extLst>
        </xdr:cNvPr>
        <xdr:cNvSpPr/>
      </xdr:nvSpPr>
      <xdr:spPr>
        <a:xfrm>
          <a:off x="11439525" y="5667374"/>
          <a:ext cx="3476625" cy="790576"/>
        </a:xfrm>
        <a:prstGeom prst="rect">
          <a:avLst/>
        </a:prstGeom>
        <a:solidFill>
          <a:schemeClr val="tx2">
            <a:lumMod val="40000"/>
            <a:lumOff val="60000"/>
          </a:schemeClr>
        </a:soli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pt-PT" sz="1400" b="1">
              <a:latin typeface="Roboto" panose="02000000000000000000" pitchFamily="2" charset="0"/>
              <a:ea typeface="Roboto" panose="02000000000000000000" pitchFamily="2" charset="0"/>
              <a:cs typeface="Roboto" panose="02000000000000000000" pitchFamily="2" charset="0"/>
            </a:rPr>
            <a:t>GENERATE</a:t>
          </a:r>
          <a:r>
            <a:rPr lang="pt-PT" sz="1400" b="1" baseline="0">
              <a:latin typeface="Roboto" panose="02000000000000000000" pitchFamily="2" charset="0"/>
              <a:ea typeface="Roboto" panose="02000000000000000000" pitchFamily="2" charset="0"/>
              <a:cs typeface="Roboto" panose="02000000000000000000" pitchFamily="2" charset="0"/>
            </a:rPr>
            <a:t> 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332016</xdr:colOff>
      <xdr:row>4</xdr:row>
      <xdr:rowOff>141513</xdr:rowOff>
    </xdr:from>
    <xdr:to>
      <xdr:col>15</xdr:col>
      <xdr:colOff>115662</xdr:colOff>
      <xdr:row>19</xdr:row>
      <xdr:rowOff>95249</xdr:rowOff>
    </xdr:to>
    <xdr:sp macro="" textlink="">
      <xdr:nvSpPr>
        <xdr:cNvPr id="5" name="Rectangle 4">
          <a:extLst>
            <a:ext uri="{FF2B5EF4-FFF2-40B4-BE49-F238E27FC236}">
              <a16:creationId xmlns:a16="http://schemas.microsoft.com/office/drawing/2014/main" id="{F3A953A4-CD22-449E-AF9A-9C3D377CD533}"/>
            </a:ext>
          </a:extLst>
        </xdr:cNvPr>
        <xdr:cNvSpPr/>
      </xdr:nvSpPr>
      <xdr:spPr>
        <a:xfrm>
          <a:off x="3189516" y="855889"/>
          <a:ext cx="3049360" cy="321945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FRONT AXLE</a:t>
          </a:r>
        </a:p>
      </xdr:txBody>
    </xdr:sp>
    <xdr:clientData/>
  </xdr:twoCellAnchor>
  <xdr:twoCellAnchor>
    <xdr:from>
      <xdr:col>16</xdr:col>
      <xdr:colOff>171451</xdr:colOff>
      <xdr:row>4</xdr:row>
      <xdr:rowOff>157841</xdr:rowOff>
    </xdr:from>
    <xdr:to>
      <xdr:col>23</xdr:col>
      <xdr:colOff>363311</xdr:colOff>
      <xdr:row>19</xdr:row>
      <xdr:rowOff>111577</xdr:rowOff>
    </xdr:to>
    <xdr:sp macro="" textlink="">
      <xdr:nvSpPr>
        <xdr:cNvPr id="2" name="Rectangle 1">
          <a:extLst>
            <a:ext uri="{FF2B5EF4-FFF2-40B4-BE49-F238E27FC236}">
              <a16:creationId xmlns:a16="http://schemas.microsoft.com/office/drawing/2014/main" id="{2CCD0856-F584-4194-8EAC-BE8853DDE89B}"/>
            </a:ext>
          </a:extLst>
        </xdr:cNvPr>
        <xdr:cNvSpPr/>
      </xdr:nvSpPr>
      <xdr:spPr>
        <a:xfrm>
          <a:off x="6724651" y="876979"/>
          <a:ext cx="3058885" cy="3239861"/>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AXLE</a:t>
          </a:r>
          <a:endParaRPr lang="en-US" sz="1100" b="1">
            <a:solidFill>
              <a:schemeClr val="lt1"/>
            </a:solidFill>
            <a:latin typeface="+mn-lt"/>
            <a:ea typeface="+mn-ea"/>
            <a:cs typeface="+mn-cs"/>
          </a:endParaRPr>
        </a:p>
      </xdr:txBody>
    </xdr:sp>
    <xdr:clientData/>
  </xdr:twoCellAnchor>
  <xdr:twoCellAnchor>
    <xdr:from>
      <xdr:col>7</xdr:col>
      <xdr:colOff>323850</xdr:colOff>
      <xdr:row>4</xdr:row>
      <xdr:rowOff>157163</xdr:rowOff>
    </xdr:from>
    <xdr:to>
      <xdr:col>10</xdr:col>
      <xdr:colOff>169853</xdr:colOff>
      <xdr:row>5</xdr:row>
      <xdr:rowOff>191901</xdr:rowOff>
    </xdr:to>
    <xdr:sp macro="" textlink="">
      <xdr:nvSpPr>
        <xdr:cNvPr id="4" name="TextBox 3">
          <a:extLst>
            <a:ext uri="{FF2B5EF4-FFF2-40B4-BE49-F238E27FC236}">
              <a16:creationId xmlns:a16="http://schemas.microsoft.com/office/drawing/2014/main" id="{CBCE70E0-CF3C-450B-B566-785BB8E61048}"/>
            </a:ext>
          </a:extLst>
        </xdr:cNvPr>
        <xdr:cNvSpPr txBox="1"/>
      </xdr:nvSpPr>
      <xdr:spPr>
        <a:xfrm>
          <a:off x="3190875" y="876301"/>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16</xdr:col>
      <xdr:colOff>204788</xdr:colOff>
      <xdr:row>4</xdr:row>
      <xdr:rowOff>214312</xdr:rowOff>
    </xdr:from>
    <xdr:to>
      <xdr:col>19</xdr:col>
      <xdr:colOff>50791</xdr:colOff>
      <xdr:row>6</xdr:row>
      <xdr:rowOff>29975</xdr:rowOff>
    </xdr:to>
    <xdr:sp macro="" textlink="">
      <xdr:nvSpPr>
        <xdr:cNvPr id="6" name="TextBox 5">
          <a:extLst>
            <a:ext uri="{FF2B5EF4-FFF2-40B4-BE49-F238E27FC236}">
              <a16:creationId xmlns:a16="http://schemas.microsoft.com/office/drawing/2014/main" id="{1D44B0A5-8D75-4399-A73D-4AB1DF382531}"/>
            </a:ext>
          </a:extLst>
        </xdr:cNvPr>
        <xdr:cNvSpPr txBox="1"/>
      </xdr:nvSpPr>
      <xdr:spPr>
        <a:xfrm>
          <a:off x="6757988" y="933450"/>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16</xdr:col>
      <xdr:colOff>185738</xdr:colOff>
      <xdr:row>4</xdr:row>
      <xdr:rowOff>157841</xdr:rowOff>
    </xdr:from>
    <xdr:to>
      <xdr:col>23</xdr:col>
      <xdr:colOff>377598</xdr:colOff>
      <xdr:row>19</xdr:row>
      <xdr:rowOff>111577</xdr:rowOff>
    </xdr:to>
    <xdr:sp macro="" textlink="">
      <xdr:nvSpPr>
        <xdr:cNvPr id="3" name="Rectangle 2">
          <a:extLst>
            <a:ext uri="{FF2B5EF4-FFF2-40B4-BE49-F238E27FC236}">
              <a16:creationId xmlns:a16="http://schemas.microsoft.com/office/drawing/2014/main" id="{362A0404-3AC4-F801-0910-9429CF1AD5D7}"/>
            </a:ext>
          </a:extLst>
        </xdr:cNvPr>
        <xdr:cNvSpPr/>
      </xdr:nvSpPr>
      <xdr:spPr>
        <a:xfrm>
          <a:off x="6738938" y="876979"/>
          <a:ext cx="3058885" cy="3239861"/>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AXLE</a:t>
          </a:r>
          <a:endParaRPr lang="en-US" sz="1100" b="1">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204355</xdr:colOff>
      <xdr:row>4</xdr:row>
      <xdr:rowOff>174913</xdr:rowOff>
    </xdr:from>
    <xdr:to>
      <xdr:col>18</xdr:col>
      <xdr:colOff>242454</xdr:colOff>
      <xdr:row>18</xdr:row>
      <xdr:rowOff>173691</xdr:rowOff>
    </xdr:to>
    <xdr:sp macro="" textlink="">
      <xdr:nvSpPr>
        <xdr:cNvPr id="37" name="Rectangle 36">
          <a:extLst>
            <a:ext uri="{FF2B5EF4-FFF2-40B4-BE49-F238E27FC236}">
              <a16:creationId xmlns:a16="http://schemas.microsoft.com/office/drawing/2014/main" id="{F6962FFF-1FAD-4A33-ADE5-EB41667D497B}"/>
            </a:ext>
          </a:extLst>
        </xdr:cNvPr>
        <xdr:cNvSpPr/>
      </xdr:nvSpPr>
      <xdr:spPr>
        <a:xfrm>
          <a:off x="4294502" y="892089"/>
          <a:ext cx="3310217" cy="3231676"/>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BUMBER SUV</a:t>
          </a:r>
          <a:endParaRPr lang="en-US" sz="1100" b="1">
            <a:solidFill>
              <a:schemeClr val="lt1"/>
            </a:solidFill>
            <a:latin typeface="+mn-lt"/>
            <a:ea typeface="+mn-ea"/>
            <a:cs typeface="+mn-cs"/>
          </a:endParaRPr>
        </a:p>
      </xdr:txBody>
    </xdr:sp>
    <xdr:clientData/>
  </xdr:twoCellAnchor>
  <xdr:twoCellAnchor>
    <xdr:from>
      <xdr:col>20</xdr:col>
      <xdr:colOff>53687</xdr:colOff>
      <xdr:row>4</xdr:row>
      <xdr:rowOff>197426</xdr:rowOff>
    </xdr:from>
    <xdr:to>
      <xdr:col>28</xdr:col>
      <xdr:colOff>91785</xdr:colOff>
      <xdr:row>19</xdr:row>
      <xdr:rowOff>11206</xdr:rowOff>
    </xdr:to>
    <xdr:sp macro="" textlink="">
      <xdr:nvSpPr>
        <xdr:cNvPr id="8" name="Rectangle 7">
          <a:extLst>
            <a:ext uri="{FF2B5EF4-FFF2-40B4-BE49-F238E27FC236}">
              <a16:creationId xmlns:a16="http://schemas.microsoft.com/office/drawing/2014/main" id="{10481C98-22F2-41D2-B974-266C40ED0C39}"/>
            </a:ext>
          </a:extLst>
        </xdr:cNvPr>
        <xdr:cNvSpPr/>
      </xdr:nvSpPr>
      <xdr:spPr>
        <a:xfrm>
          <a:off x="8233981" y="914602"/>
          <a:ext cx="3310216" cy="326519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baseline="0">
              <a:solidFill>
                <a:schemeClr val="lt1"/>
              </a:solidFill>
              <a:latin typeface="+mn-lt"/>
              <a:ea typeface="+mn-ea"/>
              <a:cs typeface="+mn-cs"/>
            </a:rPr>
            <a:t>FRONT BUMBER SUV</a:t>
          </a:r>
          <a:endParaRPr lang="en-US" sz="1100" b="1">
            <a:solidFill>
              <a:schemeClr val="lt1"/>
            </a:solidFill>
            <a:latin typeface="+mn-lt"/>
            <a:ea typeface="+mn-ea"/>
            <a:cs typeface="+mn-cs"/>
          </a:endParaRPr>
        </a:p>
      </xdr:txBody>
    </xdr:sp>
    <xdr:clientData/>
  </xdr:twoCellAnchor>
  <xdr:twoCellAnchor>
    <xdr:from>
      <xdr:col>10</xdr:col>
      <xdr:colOff>196510</xdr:colOff>
      <xdr:row>20</xdr:row>
      <xdr:rowOff>57045</xdr:rowOff>
    </xdr:from>
    <xdr:to>
      <xdr:col>18</xdr:col>
      <xdr:colOff>234609</xdr:colOff>
      <xdr:row>26</xdr:row>
      <xdr:rowOff>190500</xdr:rowOff>
    </xdr:to>
    <xdr:sp macro="" textlink="">
      <xdr:nvSpPr>
        <xdr:cNvPr id="10" name="Rectangle 9">
          <a:extLst>
            <a:ext uri="{FF2B5EF4-FFF2-40B4-BE49-F238E27FC236}">
              <a16:creationId xmlns:a16="http://schemas.microsoft.com/office/drawing/2014/main" id="{3887BEA6-8602-4386-8C41-6A63EABBFA54}"/>
            </a:ext>
          </a:extLst>
        </xdr:cNvPr>
        <xdr:cNvSpPr/>
      </xdr:nvSpPr>
      <xdr:spPr>
        <a:xfrm>
          <a:off x="4266283" y="4403909"/>
          <a:ext cx="3293917" cy="1432318"/>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REAR</a:t>
          </a:r>
          <a:r>
            <a:rPr lang="en-US" sz="1100" b="1" baseline="0">
              <a:solidFill>
                <a:schemeClr val="lt1"/>
              </a:solidFill>
              <a:latin typeface="+mn-lt"/>
              <a:ea typeface="+mn-ea"/>
              <a:cs typeface="+mn-cs"/>
            </a:rPr>
            <a:t> BUMBER NORM.</a:t>
          </a:r>
          <a:endParaRPr lang="en-US" sz="1100" b="1">
            <a:solidFill>
              <a:schemeClr val="lt1"/>
            </a:solidFill>
            <a:latin typeface="+mn-lt"/>
            <a:ea typeface="+mn-ea"/>
            <a:cs typeface="+mn-cs"/>
          </a:endParaRPr>
        </a:p>
      </xdr:txBody>
    </xdr:sp>
    <xdr:clientData/>
  </xdr:twoCellAnchor>
  <xdr:twoCellAnchor>
    <xdr:from>
      <xdr:col>20</xdr:col>
      <xdr:colOff>56538</xdr:colOff>
      <xdr:row>20</xdr:row>
      <xdr:rowOff>93312</xdr:rowOff>
    </xdr:from>
    <xdr:to>
      <xdr:col>28</xdr:col>
      <xdr:colOff>94636</xdr:colOff>
      <xdr:row>26</xdr:row>
      <xdr:rowOff>199159</xdr:rowOff>
    </xdr:to>
    <xdr:sp macro="" textlink="">
      <xdr:nvSpPr>
        <xdr:cNvPr id="11" name="Rectangle 10">
          <a:extLst>
            <a:ext uri="{FF2B5EF4-FFF2-40B4-BE49-F238E27FC236}">
              <a16:creationId xmlns:a16="http://schemas.microsoft.com/office/drawing/2014/main" id="{6F47E8A6-949F-4571-B784-218E4559A735}"/>
            </a:ext>
          </a:extLst>
        </xdr:cNvPr>
        <xdr:cNvSpPr/>
      </xdr:nvSpPr>
      <xdr:spPr>
        <a:xfrm>
          <a:off x="8196083" y="4440176"/>
          <a:ext cx="3293917" cy="140471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FRONT</a:t>
          </a:r>
          <a:r>
            <a:rPr lang="en-US" sz="1100" b="1" baseline="0">
              <a:solidFill>
                <a:schemeClr val="lt1"/>
              </a:solidFill>
              <a:latin typeface="+mn-lt"/>
              <a:ea typeface="+mn-ea"/>
              <a:cs typeface="+mn-cs"/>
            </a:rPr>
            <a:t> BUMBER NORM.</a:t>
          </a:r>
          <a:endParaRPr lang="en-US" sz="1100" b="1">
            <a:solidFill>
              <a:schemeClr val="lt1"/>
            </a:solidFill>
            <a:latin typeface="+mn-lt"/>
            <a:ea typeface="+mn-ea"/>
            <a:cs typeface="+mn-cs"/>
          </a:endParaRPr>
        </a:p>
      </xdr:txBody>
    </xdr:sp>
    <xdr:clientData/>
  </xdr:twoCellAnchor>
  <xdr:twoCellAnchor>
    <xdr:from>
      <xdr:col>10</xdr:col>
      <xdr:colOff>186359</xdr:colOff>
      <xdr:row>4</xdr:row>
      <xdr:rowOff>169794</xdr:rowOff>
    </xdr:from>
    <xdr:to>
      <xdr:col>13</xdr:col>
      <xdr:colOff>31119</xdr:colOff>
      <xdr:row>5</xdr:row>
      <xdr:rowOff>204117</xdr:rowOff>
    </xdr:to>
    <xdr:sp macro="" textlink="">
      <xdr:nvSpPr>
        <xdr:cNvPr id="2" name="TextBox 1">
          <a:extLst>
            <a:ext uri="{FF2B5EF4-FFF2-40B4-BE49-F238E27FC236}">
              <a16:creationId xmlns:a16="http://schemas.microsoft.com/office/drawing/2014/main" id="{94412725-B093-46E3-B683-8CB8E8AE5420}"/>
            </a:ext>
          </a:extLst>
        </xdr:cNvPr>
        <xdr:cNvSpPr txBox="1"/>
      </xdr:nvSpPr>
      <xdr:spPr>
        <a:xfrm>
          <a:off x="4286250" y="890381"/>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20</xdr:col>
      <xdr:colOff>53009</xdr:colOff>
      <xdr:row>4</xdr:row>
      <xdr:rowOff>202096</xdr:rowOff>
    </xdr:from>
    <xdr:to>
      <xdr:col>22</xdr:col>
      <xdr:colOff>307759</xdr:colOff>
      <xdr:row>6</xdr:row>
      <xdr:rowOff>16931</xdr:rowOff>
    </xdr:to>
    <xdr:sp macro="" textlink="">
      <xdr:nvSpPr>
        <xdr:cNvPr id="3" name="TextBox 2">
          <a:extLst>
            <a:ext uri="{FF2B5EF4-FFF2-40B4-BE49-F238E27FC236}">
              <a16:creationId xmlns:a16="http://schemas.microsoft.com/office/drawing/2014/main" id="{E59CFDD0-E90B-41C0-B2A1-0A0AF978618E}"/>
            </a:ext>
          </a:extLst>
        </xdr:cNvPr>
        <xdr:cNvSpPr txBox="1"/>
      </xdr:nvSpPr>
      <xdr:spPr>
        <a:xfrm>
          <a:off x="8252792" y="922683"/>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207067</xdr:colOff>
      <xdr:row>20</xdr:row>
      <xdr:rowOff>49696</xdr:rowOff>
    </xdr:from>
    <xdr:to>
      <xdr:col>13</xdr:col>
      <xdr:colOff>51827</xdr:colOff>
      <xdr:row>21</xdr:row>
      <xdr:rowOff>84020</xdr:rowOff>
    </xdr:to>
    <xdr:sp macro="" textlink="">
      <xdr:nvSpPr>
        <xdr:cNvPr id="4" name="TextBox 3">
          <a:extLst>
            <a:ext uri="{FF2B5EF4-FFF2-40B4-BE49-F238E27FC236}">
              <a16:creationId xmlns:a16="http://schemas.microsoft.com/office/drawing/2014/main" id="{E04D7A7E-3B9F-48EA-83B4-E8052104DFD3}"/>
            </a:ext>
          </a:extLst>
        </xdr:cNvPr>
        <xdr:cNvSpPr txBox="1"/>
      </xdr:nvSpPr>
      <xdr:spPr>
        <a:xfrm>
          <a:off x="4306958" y="4451903"/>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20</xdr:col>
      <xdr:colOff>86141</xdr:colOff>
      <xdr:row>20</xdr:row>
      <xdr:rowOff>110988</xdr:rowOff>
    </xdr:from>
    <xdr:to>
      <xdr:col>22</xdr:col>
      <xdr:colOff>340891</xdr:colOff>
      <xdr:row>21</xdr:row>
      <xdr:rowOff>145312</xdr:rowOff>
    </xdr:to>
    <xdr:sp macro="" textlink="">
      <xdr:nvSpPr>
        <xdr:cNvPr id="5" name="TextBox 4">
          <a:extLst>
            <a:ext uri="{FF2B5EF4-FFF2-40B4-BE49-F238E27FC236}">
              <a16:creationId xmlns:a16="http://schemas.microsoft.com/office/drawing/2014/main" id="{0487E46D-5215-4F72-8937-C28032710C5A}"/>
            </a:ext>
          </a:extLst>
        </xdr:cNvPr>
        <xdr:cNvSpPr txBox="1"/>
      </xdr:nvSpPr>
      <xdr:spPr>
        <a:xfrm>
          <a:off x="8285924" y="4513195"/>
          <a:ext cx="1074728" cy="25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38099</xdr:colOff>
      <xdr:row>23</xdr:row>
      <xdr:rowOff>75334</xdr:rowOff>
    </xdr:from>
    <xdr:to>
      <xdr:col>14</xdr:col>
      <xdr:colOff>206952</xdr:colOff>
      <xdr:row>29</xdr:row>
      <xdr:rowOff>103043</xdr:rowOff>
    </xdr:to>
    <xdr:sp macro="" textlink="">
      <xdr:nvSpPr>
        <xdr:cNvPr id="28" name="Rectangle 27">
          <a:extLst>
            <a:ext uri="{FF2B5EF4-FFF2-40B4-BE49-F238E27FC236}">
              <a16:creationId xmlns:a16="http://schemas.microsoft.com/office/drawing/2014/main" id="{982ED0C5-DD50-4B3A-AD40-1EF33DA56D2F}"/>
            </a:ext>
          </a:extLst>
        </xdr:cNvPr>
        <xdr:cNvSpPr/>
      </xdr:nvSpPr>
      <xdr:spPr>
        <a:xfrm>
          <a:off x="8202385" y="5096370"/>
          <a:ext cx="1801710"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BMW</a:t>
          </a:r>
        </a:p>
      </xdr:txBody>
    </xdr:sp>
    <xdr:clientData/>
  </xdr:twoCellAnchor>
  <xdr:twoCellAnchor>
    <xdr:from>
      <xdr:col>20</xdr:col>
      <xdr:colOff>1</xdr:colOff>
      <xdr:row>23</xdr:row>
      <xdr:rowOff>75334</xdr:rowOff>
    </xdr:from>
    <xdr:to>
      <xdr:col>29</xdr:col>
      <xdr:colOff>12988</xdr:colOff>
      <xdr:row>29</xdr:row>
      <xdr:rowOff>103043</xdr:rowOff>
    </xdr:to>
    <xdr:sp macro="" textlink="">
      <xdr:nvSpPr>
        <xdr:cNvPr id="29" name="Rectangle 28">
          <a:extLst>
            <a:ext uri="{FF2B5EF4-FFF2-40B4-BE49-F238E27FC236}">
              <a16:creationId xmlns:a16="http://schemas.microsoft.com/office/drawing/2014/main" id="{E9314170-4726-4A58-A3B3-B78A6AF88AF8}"/>
            </a:ext>
          </a:extLst>
        </xdr:cNvPr>
        <xdr:cNvSpPr/>
      </xdr:nvSpPr>
      <xdr:spPr>
        <a:xfrm>
          <a:off x="12246430" y="5096370"/>
          <a:ext cx="3686915"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A-PILLAR</a:t>
          </a:r>
          <a:r>
            <a:rPr lang="en-US" sz="1100" b="1" baseline="0">
              <a:solidFill>
                <a:schemeClr val="lt1"/>
              </a:solidFill>
              <a:latin typeface="+mn-lt"/>
              <a:ea typeface="+mn-ea"/>
              <a:cs typeface="+mn-cs"/>
            </a:rPr>
            <a:t> LH/RH BMW</a:t>
          </a:r>
          <a:endParaRPr lang="en-US" sz="1100" b="1">
            <a:solidFill>
              <a:schemeClr val="lt1"/>
            </a:solidFill>
            <a:latin typeface="+mn-lt"/>
            <a:ea typeface="+mn-ea"/>
            <a:cs typeface="+mn-cs"/>
          </a:endParaRPr>
        </a:p>
      </xdr:txBody>
    </xdr:sp>
    <xdr:clientData/>
  </xdr:twoCellAnchor>
  <xdr:twoCellAnchor>
    <xdr:from>
      <xdr:col>15</xdr:col>
      <xdr:colOff>18432</xdr:colOff>
      <xdr:row>23</xdr:row>
      <xdr:rowOff>75334</xdr:rowOff>
    </xdr:from>
    <xdr:to>
      <xdr:col>19</xdr:col>
      <xdr:colOff>188522</xdr:colOff>
      <xdr:row>29</xdr:row>
      <xdr:rowOff>103043</xdr:rowOff>
    </xdr:to>
    <xdr:sp macro="" textlink="">
      <xdr:nvSpPr>
        <xdr:cNvPr id="30" name="Rectangle 29">
          <a:extLst>
            <a:ext uri="{FF2B5EF4-FFF2-40B4-BE49-F238E27FC236}">
              <a16:creationId xmlns:a16="http://schemas.microsoft.com/office/drawing/2014/main" id="{A4297E11-6FBD-CD18-E7A4-B2F76265F908}"/>
            </a:ext>
          </a:extLst>
        </xdr:cNvPr>
        <xdr:cNvSpPr/>
      </xdr:nvSpPr>
      <xdr:spPr>
        <a:xfrm>
          <a:off x="10223789" y="5096370"/>
          <a:ext cx="1802947" cy="1333994"/>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a:t>
          </a:r>
          <a:r>
            <a:rPr lang="en-US" sz="1100" b="1" baseline="0">
              <a:solidFill>
                <a:schemeClr val="lt1"/>
              </a:solidFill>
              <a:latin typeface="+mn-lt"/>
              <a:ea typeface="+mn-ea"/>
              <a:cs typeface="+mn-cs"/>
            </a:rPr>
            <a:t> LH BMW</a:t>
          </a:r>
          <a:endParaRPr lang="en-US" sz="1100" b="1">
            <a:solidFill>
              <a:schemeClr val="lt1"/>
            </a:solidFill>
            <a:latin typeface="+mn-lt"/>
            <a:ea typeface="+mn-ea"/>
            <a:cs typeface="+mn-cs"/>
          </a:endParaRPr>
        </a:p>
      </xdr:txBody>
    </xdr:sp>
    <xdr:clientData/>
  </xdr:twoCellAnchor>
  <xdr:twoCellAnchor>
    <xdr:from>
      <xdr:col>10</xdr:col>
      <xdr:colOff>43294</xdr:colOff>
      <xdr:row>32</xdr:row>
      <xdr:rowOff>135331</xdr:rowOff>
    </xdr:from>
    <xdr:to>
      <xdr:col>14</xdr:col>
      <xdr:colOff>212147</xdr:colOff>
      <xdr:row>38</xdr:row>
      <xdr:rowOff>164276</xdr:rowOff>
    </xdr:to>
    <xdr:sp macro="" textlink="">
      <xdr:nvSpPr>
        <xdr:cNvPr id="32" name="Rectangle 31">
          <a:extLst>
            <a:ext uri="{FF2B5EF4-FFF2-40B4-BE49-F238E27FC236}">
              <a16:creationId xmlns:a16="http://schemas.microsoft.com/office/drawing/2014/main" id="{63B2A890-11D0-4D3C-8639-702E49417DC7}"/>
            </a:ext>
          </a:extLst>
        </xdr:cNvPr>
        <xdr:cNvSpPr/>
      </xdr:nvSpPr>
      <xdr:spPr>
        <a:xfrm>
          <a:off x="4133441" y="7144611"/>
          <a:ext cx="1804912" cy="1340033"/>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MERCEDEZ</a:t>
          </a:r>
        </a:p>
      </xdr:txBody>
    </xdr:sp>
    <xdr:clientData/>
  </xdr:twoCellAnchor>
  <xdr:twoCellAnchor>
    <xdr:from>
      <xdr:col>15</xdr:col>
      <xdr:colOff>34018</xdr:colOff>
      <xdr:row>32</xdr:row>
      <xdr:rowOff>135949</xdr:rowOff>
    </xdr:from>
    <xdr:to>
      <xdr:col>19</xdr:col>
      <xdr:colOff>204108</xdr:colOff>
      <xdr:row>38</xdr:row>
      <xdr:rowOff>163658</xdr:rowOff>
    </xdr:to>
    <xdr:sp macro="" textlink="">
      <xdr:nvSpPr>
        <xdr:cNvPr id="33" name="Rectangle 32">
          <a:extLst>
            <a:ext uri="{FF2B5EF4-FFF2-40B4-BE49-F238E27FC236}">
              <a16:creationId xmlns:a16="http://schemas.microsoft.com/office/drawing/2014/main" id="{31AD4105-AA4C-46BD-9F4D-77E780A55014}"/>
            </a:ext>
          </a:extLst>
        </xdr:cNvPr>
        <xdr:cNvSpPr/>
      </xdr:nvSpPr>
      <xdr:spPr>
        <a:xfrm>
          <a:off x="10239375" y="7116413"/>
          <a:ext cx="1802947" cy="133399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LH</a:t>
          </a:r>
          <a:r>
            <a:rPr lang="en-US" sz="1100" b="1" baseline="0">
              <a:solidFill>
                <a:schemeClr val="lt1"/>
              </a:solidFill>
              <a:latin typeface="+mn-lt"/>
              <a:ea typeface="+mn-ea"/>
              <a:cs typeface="+mn-cs"/>
            </a:rPr>
            <a:t> MERCEDEZ</a:t>
          </a:r>
          <a:endParaRPr lang="en-US" sz="1100" b="1">
            <a:solidFill>
              <a:schemeClr val="lt1"/>
            </a:solidFill>
            <a:latin typeface="+mn-lt"/>
            <a:ea typeface="+mn-ea"/>
            <a:cs typeface="+mn-cs"/>
          </a:endParaRPr>
        </a:p>
      </xdr:txBody>
    </xdr:sp>
    <xdr:clientData/>
  </xdr:twoCellAnchor>
  <xdr:twoCellAnchor>
    <xdr:from>
      <xdr:col>20</xdr:col>
      <xdr:colOff>25978</xdr:colOff>
      <xdr:row>32</xdr:row>
      <xdr:rowOff>135331</xdr:rowOff>
    </xdr:from>
    <xdr:to>
      <xdr:col>29</xdr:col>
      <xdr:colOff>54553</xdr:colOff>
      <xdr:row>38</xdr:row>
      <xdr:rowOff>164276</xdr:rowOff>
    </xdr:to>
    <xdr:sp macro="" textlink="">
      <xdr:nvSpPr>
        <xdr:cNvPr id="35" name="Rectangle 34">
          <a:extLst>
            <a:ext uri="{FF2B5EF4-FFF2-40B4-BE49-F238E27FC236}">
              <a16:creationId xmlns:a16="http://schemas.microsoft.com/office/drawing/2014/main" id="{18F759F3-9D56-4694-B7A3-401DD820B7F4}"/>
            </a:ext>
          </a:extLst>
        </xdr:cNvPr>
        <xdr:cNvSpPr/>
      </xdr:nvSpPr>
      <xdr:spPr>
        <a:xfrm>
          <a:off x="8217478" y="7160019"/>
          <a:ext cx="3714750" cy="134339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B-PILLAR</a:t>
          </a:r>
          <a:r>
            <a:rPr lang="en-US" sz="1100" b="1" baseline="0">
              <a:solidFill>
                <a:schemeClr val="lt1"/>
              </a:solidFill>
              <a:latin typeface="+mn-lt"/>
              <a:ea typeface="+mn-ea"/>
              <a:cs typeface="+mn-cs"/>
            </a:rPr>
            <a:t> LH/RH MERCEDEZ</a:t>
          </a:r>
          <a:endParaRPr lang="en-US" sz="1100" b="1">
            <a:solidFill>
              <a:schemeClr val="lt1"/>
            </a:solidFill>
            <a:latin typeface="+mn-lt"/>
            <a:ea typeface="+mn-ea"/>
            <a:cs typeface="+mn-cs"/>
          </a:endParaRPr>
        </a:p>
      </xdr:txBody>
    </xdr:sp>
    <xdr:clientData/>
  </xdr:twoCellAnchor>
  <xdr:twoCellAnchor>
    <xdr:from>
      <xdr:col>10</xdr:col>
      <xdr:colOff>78547</xdr:colOff>
      <xdr:row>11</xdr:row>
      <xdr:rowOff>159597</xdr:rowOff>
    </xdr:from>
    <xdr:to>
      <xdr:col>14</xdr:col>
      <xdr:colOff>248639</xdr:colOff>
      <xdr:row>17</xdr:row>
      <xdr:rowOff>12349</xdr:rowOff>
    </xdr:to>
    <xdr:sp macro="" textlink="">
      <xdr:nvSpPr>
        <xdr:cNvPr id="36" name="Rectangle 35">
          <a:extLst>
            <a:ext uri="{FF2B5EF4-FFF2-40B4-BE49-F238E27FC236}">
              <a16:creationId xmlns:a16="http://schemas.microsoft.com/office/drawing/2014/main" id="{7AF4811F-7807-408E-A144-91E1DC81CE63}"/>
            </a:ext>
          </a:extLst>
        </xdr:cNvPr>
        <xdr:cNvSpPr/>
      </xdr:nvSpPr>
      <xdr:spPr>
        <a:xfrm>
          <a:off x="4178438" y="2416608"/>
          <a:ext cx="1810049" cy="133948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A-PILLAR</a:t>
          </a:r>
          <a:r>
            <a:rPr lang="en-US" sz="1100" b="1" baseline="0">
              <a:solidFill>
                <a:schemeClr val="lt1"/>
              </a:solidFill>
              <a:latin typeface="+mn-lt"/>
              <a:ea typeface="+mn-ea"/>
              <a:cs typeface="+mn-cs"/>
            </a:rPr>
            <a:t> LH/RH BMW</a:t>
          </a:r>
        </a:p>
      </xdr:txBody>
    </xdr:sp>
    <xdr:clientData/>
  </xdr:twoCellAnchor>
  <xdr:twoCellAnchor>
    <xdr:from>
      <xdr:col>15</xdr:col>
      <xdr:colOff>16596</xdr:colOff>
      <xdr:row>11</xdr:row>
      <xdr:rowOff>159597</xdr:rowOff>
    </xdr:from>
    <xdr:to>
      <xdr:col>19</xdr:col>
      <xdr:colOff>188461</xdr:colOff>
      <xdr:row>17</xdr:row>
      <xdr:rowOff>12349</xdr:rowOff>
    </xdr:to>
    <xdr:sp macro="" textlink="">
      <xdr:nvSpPr>
        <xdr:cNvPr id="37" name="Rectangle 36">
          <a:extLst>
            <a:ext uri="{FF2B5EF4-FFF2-40B4-BE49-F238E27FC236}">
              <a16:creationId xmlns:a16="http://schemas.microsoft.com/office/drawing/2014/main" id="{B82DB869-819D-43F7-801B-3581407FE563}"/>
            </a:ext>
          </a:extLst>
        </xdr:cNvPr>
        <xdr:cNvSpPr/>
      </xdr:nvSpPr>
      <xdr:spPr>
        <a:xfrm>
          <a:off x="6166433" y="2416608"/>
          <a:ext cx="1811822" cy="1339480"/>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lt1"/>
              </a:solidFill>
              <a:effectLst/>
              <a:latin typeface="+mn-lt"/>
              <a:ea typeface="+mn-ea"/>
              <a:cs typeface="+mn-cs"/>
            </a:rPr>
            <a:t>B-PILLAR</a:t>
          </a:r>
          <a:r>
            <a:rPr lang="en-US" sz="1100" b="1" baseline="0">
              <a:solidFill>
                <a:schemeClr val="lt1"/>
              </a:solidFill>
              <a:effectLst/>
              <a:latin typeface="+mn-lt"/>
              <a:ea typeface="+mn-ea"/>
              <a:cs typeface="+mn-cs"/>
            </a:rPr>
            <a:t> LH/RH BMW</a:t>
          </a:r>
          <a:endParaRPr lang="pt-PT">
            <a:effectLst/>
          </a:endParaRPr>
        </a:p>
      </xdr:txBody>
    </xdr:sp>
    <xdr:clientData/>
  </xdr:twoCellAnchor>
  <xdr:twoCellAnchor>
    <xdr:from>
      <xdr:col>19</xdr:col>
      <xdr:colOff>366407</xdr:colOff>
      <xdr:row>11</xdr:row>
      <xdr:rowOff>158710</xdr:rowOff>
    </xdr:from>
    <xdr:to>
      <xdr:col>24</xdr:col>
      <xdr:colOff>128285</xdr:colOff>
      <xdr:row>17</xdr:row>
      <xdr:rowOff>13237</xdr:rowOff>
    </xdr:to>
    <xdr:sp macro="" textlink="">
      <xdr:nvSpPr>
        <xdr:cNvPr id="38" name="Rectangle 37">
          <a:extLst>
            <a:ext uri="{FF2B5EF4-FFF2-40B4-BE49-F238E27FC236}">
              <a16:creationId xmlns:a16="http://schemas.microsoft.com/office/drawing/2014/main" id="{0AE0C573-91FB-47D1-A109-1B35B88C648A}"/>
            </a:ext>
          </a:extLst>
        </xdr:cNvPr>
        <xdr:cNvSpPr/>
      </xdr:nvSpPr>
      <xdr:spPr>
        <a:xfrm>
          <a:off x="8156201" y="2415721"/>
          <a:ext cx="1811823" cy="134125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RH MERCEDEZ</a:t>
          </a:r>
        </a:p>
      </xdr:txBody>
    </xdr:sp>
    <xdr:clientData/>
  </xdr:twoCellAnchor>
  <xdr:twoCellAnchor>
    <xdr:from>
      <xdr:col>24</xdr:col>
      <xdr:colOff>306230</xdr:colOff>
      <xdr:row>11</xdr:row>
      <xdr:rowOff>158710</xdr:rowOff>
    </xdr:from>
    <xdr:to>
      <xdr:col>29</xdr:col>
      <xdr:colOff>68105</xdr:colOff>
      <xdr:row>17</xdr:row>
      <xdr:rowOff>13237</xdr:rowOff>
    </xdr:to>
    <xdr:sp macro="" textlink="">
      <xdr:nvSpPr>
        <xdr:cNvPr id="39" name="Rectangle 38">
          <a:extLst>
            <a:ext uri="{FF2B5EF4-FFF2-40B4-BE49-F238E27FC236}">
              <a16:creationId xmlns:a16="http://schemas.microsoft.com/office/drawing/2014/main" id="{2520F933-336D-4591-B662-BD0024A480A7}"/>
            </a:ext>
          </a:extLst>
        </xdr:cNvPr>
        <xdr:cNvSpPr/>
      </xdr:nvSpPr>
      <xdr:spPr>
        <a:xfrm>
          <a:off x="10145969" y="2415721"/>
          <a:ext cx="1811821" cy="1341255"/>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C-PILLAR LH MERCEDEZ</a:t>
          </a:r>
        </a:p>
      </xdr:txBody>
    </xdr:sp>
    <xdr:clientData/>
  </xdr:twoCellAnchor>
  <xdr:twoCellAnchor>
    <xdr:from>
      <xdr:col>24</xdr:col>
      <xdr:colOff>341168</xdr:colOff>
      <xdr:row>4</xdr:row>
      <xdr:rowOff>143619</xdr:rowOff>
    </xdr:from>
    <xdr:to>
      <xdr:col>29</xdr:col>
      <xdr:colOff>103043</xdr:colOff>
      <xdr:row>8</xdr:row>
      <xdr:rowOff>53565</xdr:rowOff>
    </xdr:to>
    <xdr:sp macro="" textlink="">
      <xdr:nvSpPr>
        <xdr:cNvPr id="40" name="Rectangle 39">
          <a:extLst>
            <a:ext uri="{FF2B5EF4-FFF2-40B4-BE49-F238E27FC236}">
              <a16:creationId xmlns:a16="http://schemas.microsoft.com/office/drawing/2014/main" id="{4128F008-565E-4287-99AE-4C10C1FC33EA}"/>
            </a:ext>
          </a:extLst>
        </xdr:cNvPr>
        <xdr:cNvSpPr/>
      </xdr:nvSpPr>
      <xdr:spPr>
        <a:xfrm>
          <a:off x="10180907" y="864206"/>
          <a:ext cx="1811821"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IP</a:t>
          </a:r>
          <a:r>
            <a:rPr lang="en-US" sz="1100" b="1" baseline="0">
              <a:solidFill>
                <a:schemeClr val="lt1"/>
              </a:solidFill>
              <a:effectLst/>
              <a:latin typeface="+mn-lt"/>
              <a:ea typeface="+mn-ea"/>
              <a:cs typeface="+mn-cs"/>
            </a:rPr>
            <a:t> RH MERCEDEZ</a:t>
          </a:r>
          <a:endParaRPr lang="pt-PT">
            <a:effectLst/>
          </a:endParaRPr>
        </a:p>
      </xdr:txBody>
    </xdr:sp>
    <xdr:clientData/>
  </xdr:twoCellAnchor>
  <xdr:twoCellAnchor>
    <xdr:from>
      <xdr:col>10</xdr:col>
      <xdr:colOff>55663</xdr:colOff>
      <xdr:row>4</xdr:row>
      <xdr:rowOff>143619</xdr:rowOff>
    </xdr:from>
    <xdr:to>
      <xdr:col>14</xdr:col>
      <xdr:colOff>225755</xdr:colOff>
      <xdr:row>8</xdr:row>
      <xdr:rowOff>53565</xdr:rowOff>
    </xdr:to>
    <xdr:sp macro="" textlink="">
      <xdr:nvSpPr>
        <xdr:cNvPr id="41" name="Rectangle 40">
          <a:extLst>
            <a:ext uri="{FF2B5EF4-FFF2-40B4-BE49-F238E27FC236}">
              <a16:creationId xmlns:a16="http://schemas.microsoft.com/office/drawing/2014/main" id="{CC6DB491-8FD0-417B-ACBE-5116A9506E51}"/>
            </a:ext>
          </a:extLst>
        </xdr:cNvPr>
        <xdr:cNvSpPr/>
      </xdr:nvSpPr>
      <xdr:spPr>
        <a:xfrm>
          <a:off x="4155554" y="864206"/>
          <a:ext cx="1810049"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IP RH BMW</a:t>
          </a:r>
        </a:p>
      </xdr:txBody>
    </xdr:sp>
    <xdr:clientData/>
  </xdr:twoCellAnchor>
  <xdr:twoCellAnchor>
    <xdr:from>
      <xdr:col>19</xdr:col>
      <xdr:colOff>382071</xdr:colOff>
      <xdr:row>4</xdr:row>
      <xdr:rowOff>143619</xdr:rowOff>
    </xdr:from>
    <xdr:to>
      <xdr:col>24</xdr:col>
      <xdr:colOff>143949</xdr:colOff>
      <xdr:row>8</xdr:row>
      <xdr:rowOff>53565</xdr:rowOff>
    </xdr:to>
    <xdr:sp macro="" textlink="">
      <xdr:nvSpPr>
        <xdr:cNvPr id="42" name="Rectangle 41">
          <a:extLst>
            <a:ext uri="{FF2B5EF4-FFF2-40B4-BE49-F238E27FC236}">
              <a16:creationId xmlns:a16="http://schemas.microsoft.com/office/drawing/2014/main" id="{396D0C40-D3C1-7F08-EEC4-488AFA48DEB8}"/>
            </a:ext>
          </a:extLst>
        </xdr:cNvPr>
        <xdr:cNvSpPr/>
      </xdr:nvSpPr>
      <xdr:spPr>
        <a:xfrm>
          <a:off x="8171865" y="864206"/>
          <a:ext cx="1811823"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IP LH</a:t>
          </a:r>
          <a:r>
            <a:rPr lang="en-US" sz="1100" b="1" baseline="0">
              <a:solidFill>
                <a:schemeClr val="lt1"/>
              </a:solidFill>
              <a:effectLst/>
              <a:latin typeface="+mn-lt"/>
              <a:ea typeface="+mn-ea"/>
              <a:cs typeface="+mn-cs"/>
            </a:rPr>
            <a:t> MERCEDEZ</a:t>
          </a:r>
          <a:endParaRPr lang="pt-PT">
            <a:effectLst/>
          </a:endParaRPr>
        </a:p>
      </xdr:txBody>
    </xdr:sp>
    <xdr:clientData/>
  </xdr:twoCellAnchor>
  <xdr:twoCellAnchor>
    <xdr:from>
      <xdr:col>15</xdr:col>
      <xdr:colOff>12986</xdr:colOff>
      <xdr:row>4</xdr:row>
      <xdr:rowOff>143619</xdr:rowOff>
    </xdr:from>
    <xdr:to>
      <xdr:col>19</xdr:col>
      <xdr:colOff>184851</xdr:colOff>
      <xdr:row>8</xdr:row>
      <xdr:rowOff>53565</xdr:rowOff>
    </xdr:to>
    <xdr:sp macro="" textlink="">
      <xdr:nvSpPr>
        <xdr:cNvPr id="43" name="Rectangle 42">
          <a:extLst>
            <a:ext uri="{FF2B5EF4-FFF2-40B4-BE49-F238E27FC236}">
              <a16:creationId xmlns:a16="http://schemas.microsoft.com/office/drawing/2014/main" id="{F04DFEF9-36A9-4E40-A955-31C70651259D}"/>
            </a:ext>
          </a:extLst>
        </xdr:cNvPr>
        <xdr:cNvSpPr/>
      </xdr:nvSpPr>
      <xdr:spPr>
        <a:xfrm>
          <a:off x="6162823" y="864206"/>
          <a:ext cx="1811822" cy="787902"/>
        </a:xfrm>
        <a:prstGeom prst="rect">
          <a:avLst/>
        </a:prstGeom>
        <a:ln w="952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IP LH</a:t>
          </a:r>
          <a:r>
            <a:rPr lang="en-US" sz="1100" b="1" baseline="0">
              <a:solidFill>
                <a:schemeClr val="lt1"/>
              </a:solidFill>
              <a:latin typeface="+mn-lt"/>
              <a:ea typeface="+mn-ea"/>
              <a:cs typeface="+mn-cs"/>
            </a:rPr>
            <a:t> BMW</a:t>
          </a:r>
          <a:endParaRPr lang="en-US" sz="1100" b="1">
            <a:solidFill>
              <a:schemeClr val="lt1"/>
            </a:solidFill>
            <a:latin typeface="+mn-lt"/>
            <a:ea typeface="+mn-ea"/>
            <a:cs typeface="+mn-cs"/>
          </a:endParaRPr>
        </a:p>
      </xdr:txBody>
    </xdr:sp>
    <xdr:clientData/>
  </xdr:twoCellAnchor>
  <xdr:twoCellAnchor>
    <xdr:from>
      <xdr:col>10</xdr:col>
      <xdr:colOff>51946</xdr:colOff>
      <xdr:row>4</xdr:row>
      <xdr:rowOff>151679</xdr:rowOff>
    </xdr:from>
    <xdr:to>
      <xdr:col>12</xdr:col>
      <xdr:colOff>310244</xdr:colOff>
      <xdr:row>5</xdr:row>
      <xdr:rowOff>187778</xdr:rowOff>
    </xdr:to>
    <xdr:sp macro="" textlink="">
      <xdr:nvSpPr>
        <xdr:cNvPr id="2" name="TextBox 1">
          <a:extLst>
            <a:ext uri="{FF2B5EF4-FFF2-40B4-BE49-F238E27FC236}">
              <a16:creationId xmlns:a16="http://schemas.microsoft.com/office/drawing/2014/main" id="{861AF382-9C8A-4C6A-E997-DEED45E5F77E}"/>
            </a:ext>
          </a:extLst>
        </xdr:cNvPr>
        <xdr:cNvSpPr txBox="1"/>
      </xdr:nvSpPr>
      <xdr:spPr>
        <a:xfrm>
          <a:off x="4161303" y="875579"/>
          <a:ext cx="1080170" cy="256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16567</xdr:colOff>
      <xdr:row>4</xdr:row>
      <xdr:rowOff>151679</xdr:rowOff>
    </xdr:from>
    <xdr:to>
      <xdr:col>17</xdr:col>
      <xdr:colOff>274866</xdr:colOff>
      <xdr:row>5</xdr:row>
      <xdr:rowOff>187778</xdr:rowOff>
    </xdr:to>
    <xdr:sp macro="" textlink="">
      <xdr:nvSpPr>
        <xdr:cNvPr id="3" name="TextBox 2">
          <a:extLst>
            <a:ext uri="{FF2B5EF4-FFF2-40B4-BE49-F238E27FC236}">
              <a16:creationId xmlns:a16="http://schemas.microsoft.com/office/drawing/2014/main" id="{3C8174FF-B792-46BD-9A12-5184ED493DDB}"/>
            </a:ext>
          </a:extLst>
        </xdr:cNvPr>
        <xdr:cNvSpPr txBox="1"/>
      </xdr:nvSpPr>
      <xdr:spPr>
        <a:xfrm>
          <a:off x="6180603" y="875579"/>
          <a:ext cx="1080170" cy="2565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51632</xdr:colOff>
      <xdr:row>11</xdr:row>
      <xdr:rowOff>157540</xdr:rowOff>
    </xdr:from>
    <xdr:to>
      <xdr:col>12</xdr:col>
      <xdr:colOff>309932</xdr:colOff>
      <xdr:row>12</xdr:row>
      <xdr:rowOff>193639</xdr:rowOff>
    </xdr:to>
    <xdr:sp macro="" textlink="">
      <xdr:nvSpPr>
        <xdr:cNvPr id="4" name="TextBox 3">
          <a:extLst>
            <a:ext uri="{FF2B5EF4-FFF2-40B4-BE49-F238E27FC236}">
              <a16:creationId xmlns:a16="http://schemas.microsoft.com/office/drawing/2014/main" id="{A183C2E5-FE97-4590-A419-CF258BB9B2AF}"/>
            </a:ext>
          </a:extLst>
        </xdr:cNvPr>
        <xdr:cNvSpPr txBox="1"/>
      </xdr:nvSpPr>
      <xdr:spPr>
        <a:xfrm>
          <a:off x="4154709" y="2417896"/>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15</xdr:col>
      <xdr:colOff>35513</xdr:colOff>
      <xdr:row>11</xdr:row>
      <xdr:rowOff>163402</xdr:rowOff>
    </xdr:from>
    <xdr:to>
      <xdr:col>17</xdr:col>
      <xdr:colOff>293812</xdr:colOff>
      <xdr:row>12</xdr:row>
      <xdr:rowOff>199501</xdr:rowOff>
    </xdr:to>
    <xdr:sp macro="" textlink="">
      <xdr:nvSpPr>
        <xdr:cNvPr id="5" name="TextBox 4">
          <a:extLst>
            <a:ext uri="{FF2B5EF4-FFF2-40B4-BE49-F238E27FC236}">
              <a16:creationId xmlns:a16="http://schemas.microsoft.com/office/drawing/2014/main" id="{952E6341-8830-49A6-8768-05DA6E35C0CA}"/>
            </a:ext>
          </a:extLst>
        </xdr:cNvPr>
        <xdr:cNvSpPr txBox="1"/>
      </xdr:nvSpPr>
      <xdr:spPr>
        <a:xfrm>
          <a:off x="6190128" y="2423758"/>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19</xdr:col>
      <xdr:colOff>378412</xdr:colOff>
      <xdr:row>4</xdr:row>
      <xdr:rowOff>136292</xdr:rowOff>
    </xdr:from>
    <xdr:to>
      <xdr:col>22</xdr:col>
      <xdr:colOff>226404</xdr:colOff>
      <xdr:row>5</xdr:row>
      <xdr:rowOff>172391</xdr:rowOff>
    </xdr:to>
    <xdr:sp macro="" textlink="">
      <xdr:nvSpPr>
        <xdr:cNvPr id="6" name="TextBox 5">
          <a:extLst>
            <a:ext uri="{FF2B5EF4-FFF2-40B4-BE49-F238E27FC236}">
              <a16:creationId xmlns:a16="http://schemas.microsoft.com/office/drawing/2014/main" id="{BE0F0DED-9D03-424F-A5E5-A3CF1B58ED60}"/>
            </a:ext>
          </a:extLst>
        </xdr:cNvPr>
        <xdr:cNvSpPr txBox="1"/>
      </xdr:nvSpPr>
      <xdr:spPr>
        <a:xfrm>
          <a:off x="8174258" y="857994"/>
          <a:ext cx="1078915" cy="255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24</xdr:col>
      <xdr:colOff>347193</xdr:colOff>
      <xdr:row>4</xdr:row>
      <xdr:rowOff>162255</xdr:rowOff>
    </xdr:from>
    <xdr:to>
      <xdr:col>27</xdr:col>
      <xdr:colOff>195184</xdr:colOff>
      <xdr:row>5</xdr:row>
      <xdr:rowOff>198354</xdr:rowOff>
    </xdr:to>
    <xdr:sp macro="" textlink="">
      <xdr:nvSpPr>
        <xdr:cNvPr id="7" name="TextBox 6">
          <a:extLst>
            <a:ext uri="{FF2B5EF4-FFF2-40B4-BE49-F238E27FC236}">
              <a16:creationId xmlns:a16="http://schemas.microsoft.com/office/drawing/2014/main" id="{A848A4CB-FA63-454E-96B3-AB3B3DFC1986}"/>
            </a:ext>
          </a:extLst>
        </xdr:cNvPr>
        <xdr:cNvSpPr txBox="1"/>
      </xdr:nvSpPr>
      <xdr:spPr>
        <a:xfrm>
          <a:off x="10186932" y="882842"/>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19</xdr:col>
      <xdr:colOff>358788</xdr:colOff>
      <xdr:row>11</xdr:row>
      <xdr:rowOff>177991</xdr:rowOff>
    </xdr:from>
    <xdr:to>
      <xdr:col>22</xdr:col>
      <xdr:colOff>206780</xdr:colOff>
      <xdr:row>12</xdr:row>
      <xdr:rowOff>214091</xdr:rowOff>
    </xdr:to>
    <xdr:sp macro="" textlink="">
      <xdr:nvSpPr>
        <xdr:cNvPr id="8" name="TextBox 7">
          <a:extLst>
            <a:ext uri="{FF2B5EF4-FFF2-40B4-BE49-F238E27FC236}">
              <a16:creationId xmlns:a16="http://schemas.microsoft.com/office/drawing/2014/main" id="{A66A6B9F-CF06-493E-894B-ACD658539FB1}"/>
            </a:ext>
          </a:extLst>
        </xdr:cNvPr>
        <xdr:cNvSpPr txBox="1"/>
      </xdr:nvSpPr>
      <xdr:spPr>
        <a:xfrm>
          <a:off x="8148582" y="2435002"/>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xdr:txBody>
    </xdr:sp>
    <xdr:clientData/>
  </xdr:twoCellAnchor>
  <xdr:twoCellAnchor>
    <xdr:from>
      <xdr:col>24</xdr:col>
      <xdr:colOff>320689</xdr:colOff>
      <xdr:row>11</xdr:row>
      <xdr:rowOff>181304</xdr:rowOff>
    </xdr:from>
    <xdr:to>
      <xdr:col>27</xdr:col>
      <xdr:colOff>168680</xdr:colOff>
      <xdr:row>12</xdr:row>
      <xdr:rowOff>217404</xdr:rowOff>
    </xdr:to>
    <xdr:sp macro="" textlink="">
      <xdr:nvSpPr>
        <xdr:cNvPr id="9" name="TextBox 8">
          <a:extLst>
            <a:ext uri="{FF2B5EF4-FFF2-40B4-BE49-F238E27FC236}">
              <a16:creationId xmlns:a16="http://schemas.microsoft.com/office/drawing/2014/main" id="{0BD668E8-F993-446F-9842-3BC4B1FBEBBD}"/>
            </a:ext>
          </a:extLst>
        </xdr:cNvPr>
        <xdr:cNvSpPr txBox="1"/>
      </xdr:nvSpPr>
      <xdr:spPr>
        <a:xfrm>
          <a:off x="10160428" y="2438315"/>
          <a:ext cx="1077959" cy="255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twoCellAnchor>
    <xdr:from>
      <xdr:col>10</xdr:col>
      <xdr:colOff>39909</xdr:colOff>
      <xdr:row>23</xdr:row>
      <xdr:rowOff>98558</xdr:rowOff>
    </xdr:from>
    <xdr:to>
      <xdr:col>12</xdr:col>
      <xdr:colOff>298209</xdr:colOff>
      <xdr:row>24</xdr:row>
      <xdr:rowOff>134657</xdr:rowOff>
    </xdr:to>
    <xdr:sp macro="" textlink="">
      <xdr:nvSpPr>
        <xdr:cNvPr id="10" name="TextBox 9">
          <a:extLst>
            <a:ext uri="{FF2B5EF4-FFF2-40B4-BE49-F238E27FC236}">
              <a16:creationId xmlns:a16="http://schemas.microsoft.com/office/drawing/2014/main" id="{44EF81A4-107D-468E-BC6A-37B03A717A64}"/>
            </a:ext>
          </a:extLst>
        </xdr:cNvPr>
        <xdr:cNvSpPr txBox="1"/>
      </xdr:nvSpPr>
      <xdr:spPr>
        <a:xfrm>
          <a:off x="4135659" y="5151571"/>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54196</xdr:colOff>
      <xdr:row>23</xdr:row>
      <xdr:rowOff>117608</xdr:rowOff>
    </xdr:from>
    <xdr:to>
      <xdr:col>17</xdr:col>
      <xdr:colOff>312496</xdr:colOff>
      <xdr:row>24</xdr:row>
      <xdr:rowOff>153707</xdr:rowOff>
    </xdr:to>
    <xdr:sp macro="" textlink="">
      <xdr:nvSpPr>
        <xdr:cNvPr id="11" name="TextBox 10">
          <a:extLst>
            <a:ext uri="{FF2B5EF4-FFF2-40B4-BE49-F238E27FC236}">
              <a16:creationId xmlns:a16="http://schemas.microsoft.com/office/drawing/2014/main" id="{475DCE43-FCA1-44E2-87F5-8F191A620DE5}"/>
            </a:ext>
          </a:extLst>
        </xdr:cNvPr>
        <xdr:cNvSpPr txBox="1"/>
      </xdr:nvSpPr>
      <xdr:spPr>
        <a:xfrm>
          <a:off x="6197821" y="5170621"/>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10</xdr:col>
      <xdr:colOff>44671</xdr:colOff>
      <xdr:row>32</xdr:row>
      <xdr:rowOff>150946</xdr:rowOff>
    </xdr:from>
    <xdr:to>
      <xdr:col>12</xdr:col>
      <xdr:colOff>302971</xdr:colOff>
      <xdr:row>33</xdr:row>
      <xdr:rowOff>187045</xdr:rowOff>
    </xdr:to>
    <xdr:sp macro="" textlink="">
      <xdr:nvSpPr>
        <xdr:cNvPr id="12" name="TextBox 11">
          <a:extLst>
            <a:ext uri="{FF2B5EF4-FFF2-40B4-BE49-F238E27FC236}">
              <a16:creationId xmlns:a16="http://schemas.microsoft.com/office/drawing/2014/main" id="{FA070B3F-2DFE-42D5-A8FA-3A66B87465D1}"/>
            </a:ext>
          </a:extLst>
        </xdr:cNvPr>
        <xdr:cNvSpPr txBox="1"/>
      </xdr:nvSpPr>
      <xdr:spPr>
        <a:xfrm>
          <a:off x="4140421" y="7175634"/>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L1</a:t>
          </a:r>
        </a:p>
      </xdr:txBody>
    </xdr:sp>
    <xdr:clientData/>
  </xdr:twoCellAnchor>
  <xdr:twoCellAnchor>
    <xdr:from>
      <xdr:col>15</xdr:col>
      <xdr:colOff>82771</xdr:colOff>
      <xdr:row>32</xdr:row>
      <xdr:rowOff>146184</xdr:rowOff>
    </xdr:from>
    <xdr:to>
      <xdr:col>17</xdr:col>
      <xdr:colOff>341071</xdr:colOff>
      <xdr:row>33</xdr:row>
      <xdr:rowOff>182283</xdr:rowOff>
    </xdr:to>
    <xdr:sp macro="" textlink="">
      <xdr:nvSpPr>
        <xdr:cNvPr id="13" name="TextBox 12">
          <a:extLst>
            <a:ext uri="{FF2B5EF4-FFF2-40B4-BE49-F238E27FC236}">
              <a16:creationId xmlns:a16="http://schemas.microsoft.com/office/drawing/2014/main" id="{7DAE285E-084A-417C-8B6A-4103E227EF2B}"/>
            </a:ext>
          </a:extLst>
        </xdr:cNvPr>
        <xdr:cNvSpPr txBox="1"/>
      </xdr:nvSpPr>
      <xdr:spPr>
        <a:xfrm>
          <a:off x="6226396" y="717087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L2</a:t>
          </a:r>
        </a:p>
      </xdr:txBody>
    </xdr:sp>
    <xdr:clientData/>
  </xdr:twoCellAnchor>
  <xdr:twoCellAnchor>
    <xdr:from>
      <xdr:col>20</xdr:col>
      <xdr:colOff>58959</xdr:colOff>
      <xdr:row>23</xdr:row>
      <xdr:rowOff>117609</xdr:rowOff>
    </xdr:from>
    <xdr:to>
      <xdr:col>22</xdr:col>
      <xdr:colOff>317259</xdr:colOff>
      <xdr:row>24</xdr:row>
      <xdr:rowOff>153708</xdr:rowOff>
    </xdr:to>
    <xdr:sp macro="" textlink="">
      <xdr:nvSpPr>
        <xdr:cNvPr id="14" name="TextBox 13">
          <a:extLst>
            <a:ext uri="{FF2B5EF4-FFF2-40B4-BE49-F238E27FC236}">
              <a16:creationId xmlns:a16="http://schemas.microsoft.com/office/drawing/2014/main" id="{27C25B44-496D-4CC8-9BE5-FF454A3632DD}"/>
            </a:ext>
          </a:extLst>
        </xdr:cNvPr>
        <xdr:cNvSpPr txBox="1"/>
      </xdr:nvSpPr>
      <xdr:spPr>
        <a:xfrm>
          <a:off x="8250459" y="517062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L4</a:t>
          </a:r>
        </a:p>
      </xdr:txBody>
    </xdr:sp>
    <xdr:clientData/>
  </xdr:twoCellAnchor>
  <xdr:twoCellAnchor>
    <xdr:from>
      <xdr:col>20</xdr:col>
      <xdr:colOff>58959</xdr:colOff>
      <xdr:row>32</xdr:row>
      <xdr:rowOff>165234</xdr:rowOff>
    </xdr:from>
    <xdr:to>
      <xdr:col>22</xdr:col>
      <xdr:colOff>317259</xdr:colOff>
      <xdr:row>33</xdr:row>
      <xdr:rowOff>201333</xdr:rowOff>
    </xdr:to>
    <xdr:sp macro="" textlink="">
      <xdr:nvSpPr>
        <xdr:cNvPr id="15" name="TextBox 14">
          <a:extLst>
            <a:ext uri="{FF2B5EF4-FFF2-40B4-BE49-F238E27FC236}">
              <a16:creationId xmlns:a16="http://schemas.microsoft.com/office/drawing/2014/main" id="{0E25AFED-FD45-42B6-8514-24DDC04D6E45}"/>
            </a:ext>
          </a:extLst>
        </xdr:cNvPr>
        <xdr:cNvSpPr txBox="1"/>
      </xdr:nvSpPr>
      <xdr:spPr>
        <a:xfrm>
          <a:off x="8250459" y="7189922"/>
          <a:ext cx="1077450" cy="25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100">
              <a:solidFill>
                <a:schemeClr val="bg1"/>
              </a:solidFill>
            </a:rPr>
            <a:t>L3</a:t>
          </a:r>
        </a:p>
        <a:p>
          <a:endParaRPr lang="pt-PT"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21</xdr:col>
      <xdr:colOff>57150</xdr:colOff>
      <xdr:row>37</xdr:row>
      <xdr:rowOff>76200</xdr:rowOff>
    </xdr:from>
    <xdr:ext cx="184731" cy="264560"/>
    <xdr:sp macro="" textlink="">
      <xdr:nvSpPr>
        <xdr:cNvPr id="3" name="CaixaDeTexto 1">
          <a:extLst>
            <a:ext uri="{FF2B5EF4-FFF2-40B4-BE49-F238E27FC236}">
              <a16:creationId xmlns:a16="http://schemas.microsoft.com/office/drawing/2014/main" id="{8BF221B5-10F8-4FE3-A0AF-F94EDB4BF5F4}"/>
            </a:ext>
          </a:extLst>
        </xdr:cNvPr>
        <xdr:cNvSpPr txBox="1"/>
      </xdr:nvSpPr>
      <xdr:spPr>
        <a:xfrm>
          <a:off x="6105525" y="4829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PT"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21</xdr:col>
      <xdr:colOff>57150</xdr:colOff>
      <xdr:row>37</xdr:row>
      <xdr:rowOff>76200</xdr:rowOff>
    </xdr:from>
    <xdr:ext cx="184731" cy="264560"/>
    <xdr:sp macro="" textlink="">
      <xdr:nvSpPr>
        <xdr:cNvPr id="2" name="CaixaDeTexto 1">
          <a:extLst>
            <a:ext uri="{FF2B5EF4-FFF2-40B4-BE49-F238E27FC236}">
              <a16:creationId xmlns:a16="http://schemas.microsoft.com/office/drawing/2014/main" id="{8A2CEA91-8310-4019-B645-023BEE1EEB2E}"/>
            </a:ext>
          </a:extLst>
        </xdr:cNvPr>
        <xdr:cNvSpPr txBox="1"/>
      </xdr:nvSpPr>
      <xdr:spPr>
        <a:xfrm>
          <a:off x="6934200" y="4800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PT" sz="1100"/>
        </a:p>
      </xdr:txBody>
    </xdr:sp>
    <xdr:clientData/>
  </xdr:oneCellAnchor>
  <xdr:twoCellAnchor>
    <xdr:from>
      <xdr:col>46</xdr:col>
      <xdr:colOff>199231</xdr:colOff>
      <xdr:row>1</xdr:row>
      <xdr:rowOff>144463</xdr:rowOff>
    </xdr:from>
    <xdr:to>
      <xdr:col>55</xdr:col>
      <xdr:colOff>685006</xdr:colOff>
      <xdr:row>5</xdr:row>
      <xdr:rowOff>71438</xdr:rowOff>
    </xdr:to>
    <xdr:sp macro="DeleteReport" textlink="">
      <xdr:nvSpPr>
        <xdr:cNvPr id="3" name="BtnDelete">
          <a:extLst>
            <a:ext uri="{FF2B5EF4-FFF2-40B4-BE49-F238E27FC236}">
              <a16:creationId xmlns:a16="http://schemas.microsoft.com/office/drawing/2014/main" id="{7BFB000D-FA25-A598-FA13-59B1DFF1D03B}"/>
            </a:ext>
          </a:extLst>
        </xdr:cNvPr>
        <xdr:cNvSpPr/>
      </xdr:nvSpPr>
      <xdr:spPr>
        <a:xfrm>
          <a:off x="12676981" y="268288"/>
          <a:ext cx="1905000" cy="508000"/>
        </a:xfrm>
        <a:prstGeom prst="roundRect">
          <a:avLst>
            <a:gd name="adj" fmla="val 20000"/>
          </a:avLst>
        </a:prstGeom>
        <a:solidFill>
          <a:srgbClr val="E30000"/>
        </a:solidFill>
        <a:ln w="12700">
          <a:solidFill>
            <a:srgbClr val="8B0000"/>
          </a:solidFill>
        </a:ln>
        <a:effectLst>
          <a:outerShdw blurRad="38100" dist="28398" dir="3806086" rotWithShape="0">
            <a:scrgbClr r="0" g="0" b="0">
              <a:alpha val="40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200" b="1">
              <a:solidFill>
                <a:srgbClr val="FFFFFF"/>
              </a:solidFill>
            </a:rPr>
            <a:t>Deletar Report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27A72DD-ECC2-4F9D-A082-80399EF9956B}" name="tbl_welding_lines" displayName="tbl_welding_lines" ref="B7:B11" totalsRowShown="0" headerRowDxfId="565" dataDxfId="564">
  <autoFilter ref="B7:B11" xr:uid="{627A72DD-ECC2-4F9D-A082-80399EF9956B}"/>
  <tableColumns count="1">
    <tableColumn id="1" xr3:uid="{77A4A43D-BA03-49B0-8B0F-8A548C976E85}" name="lines_listings" dataDxfId="563"/>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0585FD4-40CF-433A-803E-FAEC44996331}" name="tbl_versions_lines" displayName="tbl_versions_lines" ref="F7:F14" totalsRowShown="0" headerRowDxfId="562" dataDxfId="561">
  <autoFilter ref="F7:F14" xr:uid="{B0585FD4-40CF-433A-803E-FAEC44996331}"/>
  <tableColumns count="1">
    <tableColumn id="1" xr3:uid="{D7854064-D44E-4DE0-9791-2A9C98E324E3}" name="versions_listings" dataDxfId="560"/>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2537673-D4F9-46FE-8181-8DCC80A41C19}" name="Table219" displayName="Table219" ref="H7:H10" totalsRowShown="0" headerRowDxfId="559" dataDxfId="558">
  <autoFilter ref="H7:H10" xr:uid="{62537673-D4F9-46FE-8181-8DCC80A41C19}"/>
  <tableColumns count="1">
    <tableColumn id="1" xr3:uid="{4F1CE8EF-D62B-4777-AA6A-3CDBFBEED622}" name="Shift A" dataDxfId="557"/>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0FD70CF-BF31-4FE2-B4D6-CE3247B20340}" name="Table340" displayName="Table340" ref="J7:J10" totalsRowShown="0" headerRowDxfId="556" dataDxfId="555">
  <autoFilter ref="J7:J10" xr:uid="{D0FD70CF-BF31-4FE2-B4D6-CE3247B20340}"/>
  <tableColumns count="1">
    <tableColumn id="1" xr3:uid="{696CDC4B-6D41-4587-8555-6ED7BBA9C1EF}" name="Shift B" dataDxfId="554"/>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4D259C2-8ABE-4557-AD81-E8DE4AC31649}" name="Table441" displayName="Table441" ref="L7:L10" totalsRowShown="0" headerRowDxfId="553" dataDxfId="552">
  <autoFilter ref="L7:L10" xr:uid="{64D259C2-8ABE-4557-AD81-E8DE4AC31649}"/>
  <tableColumns count="1">
    <tableColumn id="1" xr3:uid="{F4687101-D473-4E9B-9A0A-6BBF25278826}" name="Shift C" dataDxfId="551"/>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AEA3CB2-2252-4F49-9CBA-0328A8F3A66A}" name="Table547" displayName="Table547" ref="N7:N10" totalsRowShown="0" headerRowDxfId="550" dataDxfId="549">
  <autoFilter ref="N7:N10" xr:uid="{FAEA3CB2-2252-4F49-9CBA-0328A8F3A66A}"/>
  <tableColumns count="1">
    <tableColumn id="1" xr3:uid="{3C476CB3-21B0-4E77-B47C-3DF82660347F}" name="Shift D" dataDxfId="548"/>
  </tableColumns>
  <tableStyleInfo name="Table Style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6BAEDEF-74B3-4B9C-9C4B-F960AF512C0D}" name="tbl_products_lines" displayName="tbl_products_lines" ref="D7:D61" totalsRowShown="0" headerRowDxfId="547" dataDxfId="546" tableBorderDxfId="545">
  <autoFilter ref="D7:D61" xr:uid="{76BAEDEF-74B3-4B9C-9C4B-F960AF512C0D}"/>
  <tableColumns count="1">
    <tableColumn id="1" xr3:uid="{9B24EEC0-08B4-49F0-959A-790E35B88EFB}" name="products_listings" dataDxfId="544"/>
  </tableColumns>
  <tableStyleInfo name="Table Style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3234F54-0909-4904-B780-3FC9CACE2DCF}" name="Mercedez" displayName="Mercedez" ref="F16:F40" totalsRowShown="0" headerRowDxfId="543" dataDxfId="542" tableBorderDxfId="541">
  <autoFilter ref="F16:F40" xr:uid="{63234F54-0909-4904-B780-3FC9CACE2DCF}"/>
  <tableColumns count="1">
    <tableColumn id="1" xr3:uid="{3D295364-14D1-48A4-9A80-221C08234358}" name="Mercedez" dataDxfId="540"/>
  </tableColumns>
  <tableStyleInfo name="Table Style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5613DC21-5F4C-4035-AF0D-217B3EF10969}" name="BMW" displayName="BMW" ref="G16:G46" totalsRowShown="0" headerRowDxfId="539" dataDxfId="538" tableBorderDxfId="537">
  <autoFilter ref="G16:G46" xr:uid="{5613DC21-5F4C-4035-AF0D-217B3EF10969}"/>
  <tableColumns count="1">
    <tableColumn id="1" xr3:uid="{32A4247A-B9CD-45F6-907E-5CA6A049C204}" name="BMW" dataDxfId="536"/>
  </tableColumns>
  <tableStyleInfo name="Table Style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F6CF0BA5-4E2E-46D5-A973-93A60B0E9EE3}" name="Eletrical_Breakdown" displayName="Eletrical_Breakdown" ref="AM12:AM17" totalsRowShown="0" headerRowDxfId="535" dataDxfId="533" headerRowBorderDxfId="534" tableBorderDxfId="532">
  <autoFilter ref="AM12:AM17" xr:uid="{F6CF0BA5-4E2E-46D5-A973-93A60B0E9EE3}"/>
  <tableColumns count="1">
    <tableColumn id="1" xr3:uid="{670AC052-FF94-4D7D-8E6D-7F21C152CDA7}" name="Eletrical_Breakdown" dataDxfId="531"/>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40474808-E470-4551-B77A-5C92B404436B}" name="Mechanical_Breakdown" displayName="Mechanical_Breakdown" ref="AN12:AN17" totalsRowShown="0" headerRowDxfId="530" dataDxfId="528" headerRowBorderDxfId="529" tableBorderDxfId="527">
  <autoFilter ref="AN12:AN17" xr:uid="{40474808-E470-4551-B77A-5C92B404436B}"/>
  <tableColumns count="1">
    <tableColumn id="1" xr3:uid="{C8BE8D83-BC30-4B89-BF3C-79E1A0710174}" name="Mechanical_Breakdown" dataDxfId="526"/>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B8CC15AB-7A74-43FC-AECB-3450FC7C68B4}" name="Welding_Failure" displayName="Welding_Failure" ref="AO12:AO18" totalsRowShown="0" headerRowDxfId="525" dataDxfId="523" headerRowBorderDxfId="524" tableBorderDxfId="522">
  <autoFilter ref="AO12:AO18" xr:uid="{B8CC15AB-7A74-43FC-AECB-3450FC7C68B4}"/>
  <tableColumns count="1">
    <tableColumn id="1" xr3:uid="{1BCFBD0A-B1C7-4EDB-9F00-CA85AC3D10C5}" name="Welding_Failure" dataDxfId="521"/>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CAD9A0D9-82BB-48D9-82ED-319776F753C1}" name="Hydraulic_Failure" displayName="Hydraulic_Failure" ref="AP12:AP16" totalsRowShown="0" headerRowDxfId="520" dataDxfId="518" headerRowBorderDxfId="519" tableBorderDxfId="517">
  <autoFilter ref="AP12:AP16" xr:uid="{CAD9A0D9-82BB-48D9-82ED-319776F753C1}"/>
  <tableColumns count="1">
    <tableColumn id="1" xr3:uid="{EA2EC0D4-EA23-4A46-8208-B29D71569C2E}" name="Hydraulic_Failure" dataDxfId="516"/>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A10ECE12-9192-48FA-A4D3-32C03EDD67C5}" name="Pneumatic_Failure" displayName="Pneumatic_Failure" ref="AQ12:AQ19" totalsRowShown="0" headerRowDxfId="515" dataDxfId="513" headerRowBorderDxfId="514" tableBorderDxfId="512">
  <autoFilter ref="AQ12:AQ19" xr:uid="{A10ECE12-9192-48FA-A4D3-32C03EDD67C5}"/>
  <tableColumns count="1">
    <tableColumn id="1" xr3:uid="{72C75BBE-3E98-4D58-AD7D-47366DFC39BA}" name="Pneumatic_Failure" dataDxfId="511"/>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813D147F-F926-47FA-81A9-E01A6F91C0BA}" name="Conveyor_Stoppage" displayName="Conveyor_Stoppage" ref="AR12:AR15" totalsRowShown="0" headerRowDxfId="510" dataDxfId="508" headerRowBorderDxfId="509" tableBorderDxfId="507">
  <autoFilter ref="AR12:AR15" xr:uid="{813D147F-F926-47FA-81A9-E01A6F91C0BA}"/>
  <tableColumns count="1">
    <tableColumn id="1" xr3:uid="{9F318069-976C-418E-A3C4-6F63CAC27A40}" name="Conveyor_Stoppage" dataDxfId="506"/>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89F2607C-1BE3-4209-AB49-A497C8F649B7}" name="Tooling_Change" displayName="Tooling_Change" ref="AT12:AT15" totalsRowShown="0" headerRowDxfId="505" dataDxfId="503" headerRowBorderDxfId="504" tableBorderDxfId="502">
  <autoFilter ref="AT12:AT15" xr:uid="{89F2607C-1BE3-4209-AB49-A497C8F649B7}"/>
  <tableColumns count="1">
    <tableColumn id="1" xr3:uid="{35D311D6-E8D8-42F3-B595-A740B7A2ED69}" name="Tooling_Change" dataDxfId="501"/>
  </tableColumns>
  <tableStyleInfo name="Table Style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7CC683E0-BEDB-4ED4-81FE-D6D24C6ABBD9}" name="Planned_Maintenance" displayName="Planned_Maintenance" ref="AU12:AU15" totalsRowShown="0" headerRowDxfId="500" dataDxfId="498" headerRowBorderDxfId="499" tableBorderDxfId="497">
  <autoFilter ref="AU12:AU15" xr:uid="{7CC683E0-BEDB-4ED4-81FE-D6D24C6ABBD9}"/>
  <tableColumns count="1">
    <tableColumn id="1" xr3:uid="{8AF865CA-6A9B-43F1-90DC-67F3886B843B}" name="Planned_Maintenance" dataDxfId="496"/>
  </tableColumns>
  <tableStyleInfo name="Table Style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56C31E1F-8B02-4A01-8563-16EE779C92BE}" name="Unplanned_Maintenance" displayName="Unplanned_Maintenance" ref="AV12:AV16" totalsRowShown="0" headerRowDxfId="495" dataDxfId="493" headerRowBorderDxfId="494" tableBorderDxfId="492">
  <autoFilter ref="AV12:AV16" xr:uid="{56C31E1F-8B02-4A01-8563-16EE779C92BE}"/>
  <tableColumns count="1">
    <tableColumn id="1" xr3:uid="{8D8AF42F-2098-472E-8871-930F6F50A636}" name="Unplanned_Maintenance" dataDxfId="491"/>
  </tableColumns>
  <tableStyleInfo name="Table Style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777D5F6E-C10D-4DA9-BE2D-E5E426DF8C8E}" name="Quality_Hold" displayName="Quality_Hold" ref="AW12:AW16" totalsRowShown="0" headerRowDxfId="490" dataDxfId="488" headerRowBorderDxfId="489" tableBorderDxfId="487">
  <autoFilter ref="AW12:AW16" xr:uid="{777D5F6E-C10D-4DA9-BE2D-E5E426DF8C8E}"/>
  <tableColumns count="1">
    <tableColumn id="1" xr3:uid="{D29E4B93-4B20-416B-99F0-541DE2519796}" name="Quality_Hold" dataDxfId="486"/>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2DB1C184-2DCD-44B4-9FBC-3FAA1D373345}" name="Robot_Fault" displayName="Robot_Fault" ref="AS12:AS17" totalsRowShown="0" headerRowDxfId="485" dataDxfId="483" headerRowBorderDxfId="484">
  <autoFilter ref="AS12:AS17" xr:uid="{2DB1C184-2DCD-44B4-9FBC-3FAA1D373345}"/>
  <tableColumns count="1">
    <tableColumn id="1" xr3:uid="{E689E5A4-0938-418B-ACBE-DBFEB94A5B95}" name="Robot_Fault" dataDxfId="482"/>
  </tableColumns>
  <tableStyleInfo name="Table Style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CB2F6701-0B8B-45EC-A969-9B64F5D93392}" name="Rework_Stoppage" displayName="Rework_Stoppage" ref="AX12:AX15" totalsRowShown="0" headerRowDxfId="481" dataDxfId="479" headerRowBorderDxfId="480" tableBorderDxfId="478">
  <autoFilter ref="AX12:AX15" xr:uid="{CB2F6701-0B8B-45EC-A969-9B64F5D93392}"/>
  <tableColumns count="1">
    <tableColumn id="1" xr3:uid="{04F0E258-8A1D-4F37-838C-388DB977FD50}" name="Rework_Stoppage" dataDxfId="477"/>
  </tableColumns>
  <tableStyleInfo name="Table Style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F60017D6-53C5-4E72-8D6E-DE94059EB29B}" name="Material_Shortage" displayName="Material_Shortage" ref="AY12:AY14" totalsRowShown="0" headerRowDxfId="476" dataDxfId="474" headerRowBorderDxfId="475" tableBorderDxfId="473">
  <autoFilter ref="AY12:AY14" xr:uid="{F60017D6-53C5-4E72-8D6E-DE94059EB29B}"/>
  <tableColumns count="1">
    <tableColumn id="1" xr3:uid="{06AFC3BD-F6B2-43CE-9647-27A40A0EAB73}" name="Material_Shortage" dataDxfId="472"/>
  </tableColumns>
  <tableStyleInfo name="Table Style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6CC84ED8-0F2A-42F5-9AC0-C4DB4D87A16C}" name="LS_B10" displayName="LS_B10" ref="AR93:AR105" totalsRowShown="0" headerRowDxfId="471" dataDxfId="469" headerRowBorderDxfId="470" tableBorderDxfId="468" totalsRowBorderDxfId="467">
  <autoFilter ref="AR93:AR105" xr:uid="{6CC84ED8-0F2A-42F5-9AC0-C4DB4D87A16C}"/>
  <tableColumns count="1">
    <tableColumn id="1" xr3:uid="{521BCA94-FBE4-4F25-908C-E96CF7D722DD}" name="LS_B10" dataDxfId="466"/>
  </tableColumns>
  <tableStyleInfo name="Table Style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AA8F525-A7CE-44FE-8E9D-D9E0B32FAF09}" name="RW_B20" displayName="RW_B20" ref="AS93:AS105" totalsRowShown="0" headerRowDxfId="465" dataDxfId="463" headerRowBorderDxfId="464" tableBorderDxfId="462" totalsRowBorderDxfId="461">
  <autoFilter ref="AS93:AS105" xr:uid="{1AA8F525-A7CE-44FE-8E9D-D9E0B32FAF09}"/>
  <tableColumns count="1">
    <tableColumn id="1" xr3:uid="{4C201E00-246D-4329-8260-1B9EA48A5358}" name="RW_B20" dataDxfId="460"/>
  </tableColumns>
  <tableStyleInfo name="Table Style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731E02-34A9-4E98-BBFD-881860E4F9B2}" name="GE_B30" displayName="GE_B30" ref="AT93:AT105" totalsRowShown="0" headerRowDxfId="459" dataDxfId="457" headerRowBorderDxfId="458" tableBorderDxfId="456" totalsRowBorderDxfId="455">
  <autoFilter ref="AT93:AT105" xr:uid="{81731E02-34A9-4E98-BBFD-881860E4F9B2}"/>
  <tableColumns count="1">
    <tableColumn id="1" xr3:uid="{E022A56A-BBBA-4C39-9CEE-A6120D3FC7F3}" name="GE_B30" dataDxfId="454"/>
  </tableColumns>
  <tableStyleInfo name="Table Style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9E0F197-2148-45CE-9FF3-309A6EE170A9}" name="breakdown_analysis" displayName="breakdown_analysis" ref="AK8:AK29" totalsRowShown="0" headerRowDxfId="453" dataDxfId="451" headerRowBorderDxfId="452" tableBorderDxfId="450">
  <autoFilter ref="AK8:AK29" xr:uid="{89E0F197-2148-45CE-9FF3-309A6EE170A9}"/>
  <tableColumns count="1">
    <tableColumn id="1" xr3:uid="{2607CDD0-C497-4A9E-8090-4292E52295D5}" name="breakdown_analysis" dataDxfId="449"/>
  </tableColumns>
  <tableStyleInfo name="Table Style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25DB7B9-028E-435D-B26A-189A9920BE62}" name="WA_110" displayName="WA_110" ref="AP37:AP49" totalsRowShown="0" headerRowDxfId="448" dataDxfId="446" headerRowBorderDxfId="447" tableBorderDxfId="445" totalsRowBorderDxfId="444">
  <autoFilter ref="AP37:AP49" xr:uid="{825DB7B9-028E-435D-B26A-189A9920BE62}"/>
  <tableColumns count="1">
    <tableColumn id="1" xr3:uid="{410F8E5D-AF01-493E-B9ED-B4D18A0435E2}" name="WA_110" dataDxfId="443"/>
  </tableColumns>
  <tableStyleInfo name="Table Style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8FCABB2-A4BB-4FBB-941A-7DC499060BFA}" name="AS_120" displayName="AS_120" ref="AQ37:AQ49" totalsRowShown="0" headerRowDxfId="442" dataDxfId="440" headerRowBorderDxfId="441" tableBorderDxfId="439">
  <autoFilter ref="AQ37:AQ49" xr:uid="{28FCABB2-A4BB-4FBB-941A-7DC499060BFA}"/>
  <tableColumns count="1">
    <tableColumn id="1" xr3:uid="{A5CD0539-12F8-4402-89AB-32F580CA4A8F}" name="AS_120" dataDxfId="438"/>
  </tableColumns>
  <tableStyleInfo name="Table Style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4A1E40E3-B9BA-4C44-B448-85FD5F78FB6E}" name="FT_130" displayName="FT_130" ref="AR37:AR49" totalsRowShown="0" headerRowDxfId="437" dataDxfId="435" headerRowBorderDxfId="436" tableBorderDxfId="434">
  <autoFilter ref="AR37:AR49" xr:uid="{4A1E40E3-B9BA-4C44-B448-85FD5F78FB6E}"/>
  <tableColumns count="1">
    <tableColumn id="1" xr3:uid="{14054B2B-4006-4BFB-9BA1-8BDC1EFB4636}" name="FT_130" dataDxfId="433"/>
  </tableColumns>
  <tableStyleInfo name="Table Style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004D1F8-0052-4551-9116-CD57FABB5A9D}" name="VT_140" displayName="VT_140" ref="AS37:AS49" totalsRowShown="0" headerRowDxfId="432" dataDxfId="430" headerRowBorderDxfId="431" tableBorderDxfId="429" totalsRowBorderDxfId="428">
  <autoFilter ref="AS37:AS49" xr:uid="{F004D1F8-0052-4551-9116-CD57FABB5A9D}"/>
  <tableColumns count="1">
    <tableColumn id="1" xr3:uid="{9D5B2582-F078-484C-AC47-886957DD9B77}" name="VT_140" dataDxfId="427"/>
  </tableColumns>
  <tableStyleInfo name="Table Style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CADD300-03E9-4C4C-BC5B-6148242F9AC7}" name="RK_150" displayName="RK_150" ref="AT37:AT49" totalsRowShown="0" headerRowDxfId="426" dataDxfId="424" headerRowBorderDxfId="425" tableBorderDxfId="423">
  <autoFilter ref="AT37:AT49" xr:uid="{DCADD300-03E9-4C4C-BC5B-6148242F9AC7}"/>
  <tableColumns count="1">
    <tableColumn id="1" xr3:uid="{29CB1312-F1CD-43FD-AA33-2126D71D7D8C}" name="RK_150" dataDxfId="422"/>
  </tableColumns>
  <tableStyleInfo name="Table Style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3DEE0AD-3782-407A-8749-1AA4A3729B2E}" name="FT_230" displayName="FT_230" ref="AW37:AW49" totalsRowShown="0" headerRowDxfId="421" dataDxfId="419" headerRowBorderDxfId="420" tableBorderDxfId="418">
  <autoFilter ref="AW37:AW49" xr:uid="{C3DEE0AD-3782-407A-8749-1AA4A3729B2E}"/>
  <tableColumns count="1">
    <tableColumn id="1" xr3:uid="{13773BB3-FF32-4164-8A69-D1497D64B24C}" name="FT_230" dataDxfId="417"/>
  </tableColumns>
  <tableStyleInfo name="Table Style 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BE6E6251-114F-4862-9ADE-5ED4F1D87D74}" name="VT_240" displayName="VT_240" ref="AX37:AX49" totalsRowShown="0" headerRowDxfId="416" dataDxfId="414" headerRowBorderDxfId="415" tableBorderDxfId="413" totalsRowBorderDxfId="412">
  <autoFilter ref="AX37:AX49" xr:uid="{BE6E6251-114F-4862-9ADE-5ED4F1D87D74}"/>
  <tableColumns count="1">
    <tableColumn id="1" xr3:uid="{E5005755-4B7F-4629-BEBB-118A7F9857D6}" name="VT_240" dataDxfId="411"/>
  </tableColumns>
  <tableStyleInfo name="Table Style 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592A329-3AC3-4B08-A653-4916BEDBF001}" name="RK_250" displayName="RK_250" ref="AY37:AY49" totalsRowShown="0" headerRowDxfId="410" dataDxfId="408" headerRowBorderDxfId="409" tableBorderDxfId="407">
  <autoFilter ref="AY37:AY49" xr:uid="{5592A329-3AC3-4B08-A653-4916BEDBF001}"/>
  <tableColumns count="1">
    <tableColumn id="1" xr3:uid="{B8F94366-18D4-4792-A804-E1698A10FF11}" name="RK_250" dataDxfId="406"/>
  </tableColumns>
  <tableStyleInfo name="Table Style 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39AC857-AA2A-4566-9DD3-26340A1539B8}" name="WA_210" displayName="WA_210" ref="AU37:AU49" totalsRowShown="0" headerRowDxfId="405" dataDxfId="403" headerRowBorderDxfId="404" tableBorderDxfId="402">
  <autoFilter ref="AU37:AU49" xr:uid="{B39AC857-AA2A-4566-9DD3-26340A1539B8}"/>
  <tableColumns count="1">
    <tableColumn id="1" xr3:uid="{B3A01C59-B2B9-4799-83D1-4FDF3DBF17D9}" name="WA_210" dataDxfId="401"/>
  </tableColumns>
  <tableStyleInfo name="Table Style 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5855F29-206E-4B3B-A3DC-E4C1DB38F733}" name="AS_220" displayName="AS_220" ref="AV37:AV49" totalsRowShown="0" headerRowDxfId="400" dataDxfId="398" headerRowBorderDxfId="399" tableBorderDxfId="397">
  <autoFilter ref="AV37:AV49" xr:uid="{45855F29-206E-4B3B-A3DC-E4C1DB38F733}"/>
  <tableColumns count="1">
    <tableColumn id="1" xr3:uid="{4DAF9DAF-10E6-49F7-8ACB-4D53C3BC52D8}" name="AS_220" dataDxfId="396"/>
  </tableColumns>
  <tableStyleInfo name="Table Style 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D728865-6565-42FF-AADE-C983775DC63E}" name="WA_410" displayName="WA_410" ref="AM55:AM67" totalsRowShown="0" headerRowDxfId="395" dataDxfId="393" headerRowBorderDxfId="394" tableBorderDxfId="392" totalsRowBorderDxfId="391">
  <autoFilter ref="AM55:AM67" xr:uid="{9D728865-6565-42FF-AADE-C983775DC63E}"/>
  <tableColumns count="1">
    <tableColumn id="1" xr3:uid="{6502D4FD-38E2-41A8-A440-3D1BF46D8D3C}" name="WA_410" dataDxfId="390"/>
  </tableColumns>
  <tableStyleInfo name="Table Style 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FAB2EDD8-5BCD-430C-9D7F-9D3E85305E6B}" name="AS_420" displayName="AS_420" ref="AN55:AN67" totalsRowShown="0" headerRowDxfId="389" dataDxfId="387" headerRowBorderDxfId="388" tableBorderDxfId="386">
  <autoFilter ref="AN55:AN67" xr:uid="{FAB2EDD8-5BCD-430C-9D7F-9D3E85305E6B}"/>
  <tableColumns count="1">
    <tableColumn id="1" xr3:uid="{84812FA7-3F9C-4D9D-8ACC-3643D73E5BE1}" name="AS_420" dataDxfId="385"/>
  </tableColumns>
  <tableStyleInfo name="Table Style 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D7E0720-CE1C-45CF-B9B9-3CBC65AEF68D}" name="FT_430" displayName="FT_430" ref="AO55:AO67" totalsRowShown="0" headerRowDxfId="384" dataDxfId="382" headerRowBorderDxfId="383" tableBorderDxfId="381">
  <autoFilter ref="AO55:AO67" xr:uid="{3D7E0720-CE1C-45CF-B9B9-3CBC65AEF68D}"/>
  <tableColumns count="1">
    <tableColumn id="1" xr3:uid="{6A7FA814-E2A4-4F2D-A220-B87E8B661AE3}" name="FT_430" dataDxfId="380"/>
  </tableColumns>
  <tableStyleInfo name="Table Style 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17DCB52B-4D94-4E4C-90D8-FB3E174A385D}" name="VT_440" displayName="VT_440" ref="AP55:AP67" totalsRowShown="0" headerRowDxfId="379" dataDxfId="377" headerRowBorderDxfId="378" tableBorderDxfId="376" totalsRowBorderDxfId="375">
  <autoFilter ref="AP55:AP67" xr:uid="{17DCB52B-4D94-4E4C-90D8-FB3E174A385D}"/>
  <tableColumns count="1">
    <tableColumn id="1" xr3:uid="{4D0A8CA0-68FD-4C4B-AE58-F24AFF64D89C}" name="VT_440" dataDxfId="374"/>
  </tableColumns>
  <tableStyleInfo name="Table Style 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EBEE8AA2-AAB5-4EFB-8E7D-0E99A4F6836F}" name="RK_450" displayName="RK_450" ref="AQ55:AQ67" totalsRowShown="0" headerRowDxfId="373" dataDxfId="371" headerRowBorderDxfId="372" tableBorderDxfId="370" totalsRowBorderDxfId="369">
  <autoFilter ref="AQ55:AQ67" xr:uid="{EBEE8AA2-AAB5-4EFB-8E7D-0E99A4F6836F}"/>
  <tableColumns count="1">
    <tableColumn id="1" xr3:uid="{956097FE-2D6E-4B16-93E8-8092F4630F2A}" name="RK_450" dataDxfId="368"/>
  </tableColumns>
  <tableStyleInfo name="Table Style 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CDF5672-85EC-4E2D-862F-B3B8F3FDECD9}" name="LS_510" displayName="LS_510" ref="AR55:AR67" totalsRowShown="0" headerRowDxfId="367" dataDxfId="365" headerRowBorderDxfId="366" tableBorderDxfId="364">
  <autoFilter ref="AR55:AR67" xr:uid="{ECDF5672-85EC-4E2D-862F-B3B8F3FDECD9}"/>
  <tableColumns count="1">
    <tableColumn id="1" xr3:uid="{26A2535F-4D35-44C7-95B6-DBCDE58ACAE2}" name="LS_510" dataDxfId="363"/>
  </tableColumns>
  <tableStyleInfo name="Table Style 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F52A6FCE-E091-446A-A931-A3DBA1DD264B}" name="RW_520" displayName="RW_520" ref="AS55:AS67" totalsRowShown="0" headerRowDxfId="362" dataDxfId="360" headerRowBorderDxfId="361" tableBorderDxfId="359" totalsRowBorderDxfId="358">
  <autoFilter ref="AS55:AS67" xr:uid="{F52A6FCE-E091-446A-A931-A3DBA1DD264B}"/>
  <tableColumns count="1">
    <tableColumn id="1" xr3:uid="{90620C21-BF8E-4503-AFD6-4AC0C4174E3A}" name="RW_520" dataDxfId="357"/>
  </tableColumns>
  <tableStyleInfo name="Table Style 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9F377869-5118-461A-86C4-604585FA25CB}" name="GE_530" displayName="GE_530" ref="AT55:AT67" totalsRowShown="0" headerRowDxfId="356" dataDxfId="354" headerRowBorderDxfId="355" tableBorderDxfId="353">
  <autoFilter ref="AT55:AT67" xr:uid="{9F377869-5118-461A-86C4-604585FA25CB}"/>
  <tableColumns count="1">
    <tableColumn id="1" xr3:uid="{B916E711-AE61-42F1-B1E3-B07838876F74}" name="GE_530" dataDxfId="352"/>
  </tableColumns>
  <tableStyleInfo name="Table Style 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64B0033-73D9-40F5-AEBF-1FB8304EDEC5}" name="QC_540" displayName="QC_540" ref="AU55:AU67" totalsRowShown="0" headerRowDxfId="351" dataDxfId="349" headerRowBorderDxfId="350" tableBorderDxfId="348">
  <autoFilter ref="AU55:AU67" xr:uid="{264B0033-73D9-40F5-AEBF-1FB8304EDEC5}"/>
  <tableColumns count="1">
    <tableColumn id="1" xr3:uid="{D12C276F-8526-4FE7-8491-6F871245EB4C}" name="QC_540" dataDxfId="347"/>
  </tableColumns>
  <tableStyleInfo name="Table Style 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47FB452A-6399-4B90-A7F8-881C3D03ECC1}" name="US_550" displayName="US_550" ref="AV55:AV67" totalsRowShown="0" headerRowDxfId="346" dataDxfId="344" headerRowBorderDxfId="345" tableBorderDxfId="343">
  <autoFilter ref="AV55:AV67" xr:uid="{47FB452A-6399-4B90-A7F8-881C3D03ECC1}"/>
  <tableColumns count="1">
    <tableColumn id="1" xr3:uid="{52085744-544E-4E73-8EDB-E844AF78B41D}" name="US_550" dataDxfId="342"/>
  </tableColumns>
  <tableStyleInfo name="Table Style 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2F9EB264-45D0-4190-BE3F-8DF7BAA571B8}" name="LS_610" displayName="LS_610" ref="AW55:AW67" totalsRowShown="0" headerRowDxfId="341" dataDxfId="339" headerRowBorderDxfId="340" tableBorderDxfId="338" totalsRowBorderDxfId="337">
  <autoFilter ref="AW55:AW67" xr:uid="{2F9EB264-45D0-4190-BE3F-8DF7BAA571B8}"/>
  <tableColumns count="1">
    <tableColumn id="1" xr3:uid="{0F7EA943-F7AB-4C0D-B2FF-324F7CF036F7}" name="LS_610" dataDxfId="336"/>
  </tableColumns>
  <tableStyleInfo name="Table Style 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68A35E4F-3A91-4DE3-902F-AFACC2DADE2F}" name="RW_620" displayName="RW_620" ref="AX55:AX67" totalsRowShown="0" headerRowDxfId="335" dataDxfId="333" headerRowBorderDxfId="334" tableBorderDxfId="332" totalsRowBorderDxfId="331">
  <autoFilter ref="AX55:AX67" xr:uid="{68A35E4F-3A91-4DE3-902F-AFACC2DADE2F}"/>
  <tableColumns count="1">
    <tableColumn id="1" xr3:uid="{CA48F503-C78F-4916-8DB9-790B896F36FA}" name="RW_620" dataDxfId="330"/>
  </tableColumns>
  <tableStyleInfo name="Table Style 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B000CBD-B380-44B2-BFA9-3FE8EDB0E26E}" name="MW_630" displayName="MW_630" ref="AY55:AY67" totalsRowShown="0" headerRowDxfId="329" dataDxfId="327" headerRowBorderDxfId="328" tableBorderDxfId="326" totalsRowBorderDxfId="325">
  <autoFilter ref="AY55:AY67" xr:uid="{0B000CBD-B380-44B2-BFA9-3FE8EDB0E26E}"/>
  <tableColumns count="1">
    <tableColumn id="1" xr3:uid="{E4F2B970-BE42-470E-A1B9-3895146F3DBA}" name="MW_630" dataDxfId="324"/>
  </tableColumns>
  <tableStyleInfo name="Table Style 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2017FA3-B78F-48EE-A7AE-2C27844AF4FB}" name="LS_710" displayName="LS_710" ref="AM74:AM86" totalsRowShown="0" headerRowDxfId="323" dataDxfId="321" headerRowBorderDxfId="322" tableBorderDxfId="320" totalsRowBorderDxfId="319">
  <autoFilter ref="AM74:AM86" xr:uid="{02017FA3-B78F-48EE-A7AE-2C27844AF4FB}"/>
  <tableColumns count="1">
    <tableColumn id="1" xr3:uid="{5B5AFEF4-5063-4BAD-8F36-3232E88DD74F}" name="LS_710" dataDxfId="318"/>
  </tableColumns>
  <tableStyleInfo name="Table Style 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F9764A5A-6FE0-4949-A25F-B11B8EAD756D}" name="RW_720" displayName="RW_720" ref="AN74:AN86" totalsRowShown="0" headerRowDxfId="317" dataDxfId="315" headerRowBorderDxfId="316" tableBorderDxfId="314" totalsRowBorderDxfId="313">
  <autoFilter ref="AN74:AN86" xr:uid="{F9764A5A-6FE0-4949-A25F-B11B8EAD756D}"/>
  <tableColumns count="1">
    <tableColumn id="1" xr3:uid="{9EF138E1-C960-4840-9C60-9B86289B164B}" name="RW_720" dataDxfId="312"/>
  </tableColumns>
  <tableStyleInfo name="Table Style 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B3F698C2-1CAC-4A01-81F8-E6C1087BA5D5}" name="GE_730" displayName="GE_730" ref="AO74:AO86" totalsRowShown="0" headerRowDxfId="311" dataDxfId="309" headerRowBorderDxfId="310" tableBorderDxfId="308" totalsRowBorderDxfId="307">
  <autoFilter ref="AO74:AO86" xr:uid="{B3F698C2-1CAC-4A01-81F8-E6C1087BA5D5}"/>
  <tableColumns count="1">
    <tableColumn id="1" xr3:uid="{8D6D5A5A-29A4-490F-8D90-B5D2B7FD8D4D}" name="GE_730" dataDxfId="306"/>
  </tableColumns>
  <tableStyleInfo name="Table Style 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E6384D1-E48A-48EB-8A6B-E0173541963E}" name="QC_740" displayName="QC_740" ref="AP74:AP86" totalsRowShown="0" headerRowDxfId="305" dataDxfId="303" headerRowBorderDxfId="304" tableBorderDxfId="302" totalsRowBorderDxfId="301">
  <autoFilter ref="AP74:AP86" xr:uid="{7E6384D1-E48A-48EB-8A6B-E0173541963E}"/>
  <tableColumns count="1">
    <tableColumn id="1" xr3:uid="{9B4AA968-5E27-451E-8CCC-9C29AA4F2601}" name="QC_740" dataDxfId="300"/>
  </tableColumns>
  <tableStyleInfo name="Table Style 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33436DF-DA41-4C10-A645-B8F0E287A6BD}" name="US_750" displayName="US_750" ref="AQ74:AQ86" totalsRowShown="0" headerRowDxfId="299" dataDxfId="297" headerRowBorderDxfId="298" tableBorderDxfId="296" totalsRowBorderDxfId="295">
  <autoFilter ref="AQ74:AQ86" xr:uid="{133436DF-DA41-4C10-A645-B8F0E287A6BD}"/>
  <tableColumns count="1">
    <tableColumn id="1" xr3:uid="{9CB288B7-AC0A-4787-9E72-20DC9626D4B2}" name="US_750" dataDxfId="294"/>
  </tableColumns>
  <tableStyleInfo name="Table Style 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87A29FE7-1EF6-48DA-8BA6-91763BE30E5B}" name="LS_810" displayName="LS_810" ref="AR74:AR86" totalsRowShown="0" headerRowDxfId="293" dataDxfId="291" headerRowBorderDxfId="292" tableBorderDxfId="290" totalsRowBorderDxfId="289">
  <autoFilter ref="AR74:AR86" xr:uid="{87A29FE7-1EF6-48DA-8BA6-91763BE30E5B}"/>
  <tableColumns count="1">
    <tableColumn id="1" xr3:uid="{6F19D0C1-B1D9-4F2D-AEFB-E029F54BDFE6}" name="LS_810" dataDxfId="288"/>
  </tableColumns>
  <tableStyleInfo name="Table Style 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73BBEE2-C08F-4408-B8AE-E09F052D1D67}" name="GE_830" displayName="GE_830" ref="AT74:AT86" totalsRowShown="0" headerRowDxfId="287" dataDxfId="285" headerRowBorderDxfId="286" tableBorderDxfId="284" totalsRowBorderDxfId="283">
  <autoFilter ref="AT74:AT86" xr:uid="{073BBEE2-C08F-4408-B8AE-E09F052D1D67}"/>
  <tableColumns count="1">
    <tableColumn id="1" xr3:uid="{858EF545-17F3-46B0-B118-8220E473D338}" name="GE_830" dataDxfId="282"/>
  </tableColumns>
  <tableStyleInfo name="Table Style 1"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FAD82BE7-FB73-4B06-8757-7BFDFDE812CF}" name="QC_840" displayName="QC_840" ref="AU74:AU86" totalsRowShown="0" headerRowDxfId="281" dataDxfId="279" headerRowBorderDxfId="280" tableBorderDxfId="278" totalsRowBorderDxfId="277">
  <autoFilter ref="AU74:AU86" xr:uid="{FAD82BE7-FB73-4B06-8757-7BFDFDE812CF}"/>
  <tableColumns count="1">
    <tableColumn id="1" xr3:uid="{213629E9-0E17-4423-9431-56C1F30E7005}" name="QC_840" dataDxfId="276"/>
  </tableColumns>
  <tableStyleInfo name="Table Style 1"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B452B5DD-C1FE-4B85-92E9-B9FBB6274F16}" name="US_850" displayName="US_850" ref="AV74:AV86" totalsRowShown="0" headerRowDxfId="275" dataDxfId="273" headerRowBorderDxfId="274" tableBorderDxfId="272" totalsRowBorderDxfId="271">
  <autoFilter ref="AV74:AV86" xr:uid="{B452B5DD-C1FE-4B85-92E9-B9FBB6274F16}"/>
  <tableColumns count="1">
    <tableColumn id="1" xr3:uid="{B0F15B45-0A40-45CC-A706-50C25E39352B}" name="US_850" dataDxfId="270"/>
  </tableColumns>
  <tableStyleInfo name="Table Style 1"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BD09307A-7ACD-45E9-8720-149FF01453F6}" name="LS_910" displayName="LS_910" ref="AW74:AW86" totalsRowShown="0" headerRowDxfId="269" dataDxfId="267" headerRowBorderDxfId="268" tableBorderDxfId="266" totalsRowBorderDxfId="265">
  <autoFilter ref="AW74:AW86" xr:uid="{BD09307A-7ACD-45E9-8720-149FF01453F6}"/>
  <tableColumns count="1">
    <tableColumn id="1" xr3:uid="{E1B7F4D0-A83C-4279-A42B-BDC57B2BD721}" name="LS_910" dataDxfId="264"/>
  </tableColumns>
  <tableStyleInfo name="Table Style 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3F093CF2-A105-455A-BE19-4F24EBC92EE3}" name="RW_920" displayName="RW_920" ref="AX74:AX86" totalsRowShown="0" headerRowDxfId="263" dataDxfId="261" headerRowBorderDxfId="262" tableBorderDxfId="260" totalsRowBorderDxfId="259">
  <autoFilter ref="AX74:AX86" xr:uid="{3F093CF2-A105-455A-BE19-4F24EBC92EE3}"/>
  <tableColumns count="1">
    <tableColumn id="1" xr3:uid="{EEF2BB9D-66B2-43E8-8A54-501705452898}" name="RW_920" dataDxfId="258"/>
  </tableColumns>
  <tableStyleInfo name="Table Style 1"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D358701E-1F43-4514-AE56-9440B2B6D1E0}" name="MW_930" displayName="MW_930" ref="AY74:AY86" totalsRowShown="0" headerRowDxfId="257" dataDxfId="255" headerRowBorderDxfId="256" tableBorderDxfId="254" totalsRowBorderDxfId="253">
  <autoFilter ref="AY74:AY86" xr:uid="{D358701E-1F43-4514-AE56-9440B2B6D1E0}"/>
  <tableColumns count="1">
    <tableColumn id="1" xr3:uid="{C02A01B8-3C9E-4ECC-987B-6118A7A69563}" name="MW_930" dataDxfId="252"/>
  </tableColumns>
  <tableStyleInfo name="Table Style 1"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B23FF7CC-8681-4F22-9B2B-C3A92BFF79A7}" name="LS_A10" displayName="LS_A10" ref="AM93:AM105" totalsRowShown="0" headerRowDxfId="251" dataDxfId="249" headerRowBorderDxfId="250" tableBorderDxfId="248" totalsRowBorderDxfId="247">
  <autoFilter ref="AM93:AM105" xr:uid="{B23FF7CC-8681-4F22-9B2B-C3A92BFF79A7}"/>
  <tableColumns count="1">
    <tableColumn id="1" xr3:uid="{59AC51B2-DC46-4FC4-B736-40B725D79107}" name="LS_A10" dataDxfId="246"/>
  </tableColumns>
  <tableStyleInfo name="Table Style 1"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85345E3A-51C3-4E39-8437-13B4CC468AC8}" name="RW_A20" displayName="RW_A20" ref="AN93:AN105" totalsRowShown="0" headerRowDxfId="245" dataDxfId="243" headerRowBorderDxfId="244" tableBorderDxfId="242" totalsRowBorderDxfId="241">
  <autoFilter ref="AN93:AN105" xr:uid="{85345E3A-51C3-4E39-8437-13B4CC468AC8}"/>
  <tableColumns count="1">
    <tableColumn id="1" xr3:uid="{767DD225-7D85-40F0-9AAF-B0A2DBF454A8}" name="RW_A20" dataDxfId="240"/>
  </tableColumns>
  <tableStyleInfo name="Table Style 1"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2D983403-46A9-4445-B60E-5F53D0986E63}" name="MW_A30" displayName="MW_A30" ref="AO93:AO105" totalsRowShown="0" headerRowDxfId="239" dataDxfId="237" headerRowBorderDxfId="238" tableBorderDxfId="236" totalsRowBorderDxfId="235">
  <autoFilter ref="AO93:AO105" xr:uid="{2D983403-46A9-4445-B60E-5F53D0986E63}"/>
  <tableColumns count="1">
    <tableColumn id="1" xr3:uid="{4A73BA1D-5118-4A80-BEA8-7155A909669D}" name="MW_A30" dataDxfId="234"/>
  </tableColumns>
  <tableStyleInfo name="Table Style 1"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1C5E142A-2711-4AA3-9769-E92F22EFF148}" name="GE_A40" displayName="GE_A40" ref="AP93:AP105" totalsRowShown="0" headerRowDxfId="233" dataDxfId="231" headerRowBorderDxfId="232" tableBorderDxfId="230" totalsRowBorderDxfId="229">
  <autoFilter ref="AP93:AP105" xr:uid="{1C5E142A-2711-4AA3-9769-E92F22EFF148}"/>
  <tableColumns count="1">
    <tableColumn id="1" xr3:uid="{065FADB8-B2A2-4975-8BB6-C4837B337390}" name="GE_A40" dataDxfId="228"/>
  </tableColumns>
  <tableStyleInfo name="Table Style 1"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B85BCE-B1C8-4878-8555-8FCE7AE3F3D5}" name="RW_820" displayName="RW_820" ref="AS74:AS86" totalsRowShown="0" headerRowDxfId="227" dataDxfId="225" headerRowBorderDxfId="226" tableBorderDxfId="224" totalsRowBorderDxfId="223">
  <autoFilter ref="AS74:AS86" xr:uid="{19B85BCE-B1C8-4878-8555-8FCE7AE3F3D5}"/>
  <tableColumns count="1">
    <tableColumn id="1" xr3:uid="{A59DD32A-E3D5-415C-99F0-CF9AFCF373DF}" name="RW_820" dataDxfId="222"/>
  </tableColumns>
  <tableStyleInfo name="Table Style 1"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6BE4C1-F8FD-462B-A68F-DAE287BF65F1}" name="GE_940" displayName="GE_940" ref="AZ74:AZ86" totalsRowShown="0" headerRowDxfId="221" dataDxfId="219" headerRowBorderDxfId="220" tableBorderDxfId="218" totalsRowBorderDxfId="217">
  <autoFilter ref="AZ74:AZ86" xr:uid="{6C6BE4C1-F8FD-462B-A68F-DAE287BF65F1}"/>
  <tableColumns count="1">
    <tableColumn id="1" xr3:uid="{B36CB51B-4D4C-43AC-B955-1E7261679C34}" name="GE_940" dataDxfId="216"/>
  </tableColumns>
  <tableStyleInfo name="Table Style 1"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EA66140-3921-4CB6-9A15-91604D0CCB05}" name="VT_950" displayName="VT_950" ref="BA74:BA86" totalsRowShown="0" headerRowDxfId="215" dataDxfId="213" headerRowBorderDxfId="214" tableBorderDxfId="212" totalsRowBorderDxfId="211">
  <autoFilter ref="BA74:BA86" xr:uid="{FEA66140-3921-4CB6-9A15-91604D0CCB05}"/>
  <tableColumns count="1">
    <tableColumn id="1" xr3:uid="{92087FE2-7EB3-429E-8385-C59A25A62233}" name="VT_950" dataDxfId="210"/>
  </tableColumns>
  <tableStyleInfo name="Table Style 1"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CF409AC-B911-4D16-9255-34F8E0C282B6}" name="WA_310" displayName="WA_310" ref="AZ37:AZ49" totalsRowShown="0" headerRowDxfId="209" dataDxfId="207" headerRowBorderDxfId="208" tableBorderDxfId="206">
  <autoFilter ref="AZ37:AZ49" xr:uid="{ACF409AC-B911-4D16-9255-34F8E0C282B6}"/>
  <tableColumns count="1">
    <tableColumn id="1" xr3:uid="{443A9AD8-0086-4E94-ADBB-77DE689FA096}" name="WA_310" dataDxfId="205"/>
  </tableColumns>
  <tableStyleInfo name="Table Style 1"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6EE7C3C-497C-4589-BE3C-E8B62433A6AF}" name="AS_320" displayName="AS_320" ref="BA37:BA49" totalsRowShown="0" headerRowDxfId="204" dataDxfId="202" headerRowBorderDxfId="203" tableBorderDxfId="201">
  <autoFilter ref="BA37:BA49" xr:uid="{A6EE7C3C-497C-4589-BE3C-E8B62433A6AF}"/>
  <tableColumns count="1">
    <tableColumn id="1" xr3:uid="{DCAA813E-48CD-4B06-B680-F4BB94A6C11C}" name="AS_320" dataDxfId="200"/>
  </tableColumns>
  <tableStyleInfo name="Table Style 1"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095B36-F669-420C-B71A-9C3CBB5C322C}" name="FT_330" displayName="FT_330" ref="BB37:BB49" totalsRowShown="0" headerRowDxfId="199" dataDxfId="197" headerRowBorderDxfId="198" tableBorderDxfId="196">
  <autoFilter ref="BB37:BB49" xr:uid="{12095B36-F669-420C-B71A-9C3CBB5C322C}"/>
  <tableColumns count="1">
    <tableColumn id="1" xr3:uid="{1F586484-A6A4-4F0F-B0E2-E6B1359832B1}" name="FT_330" dataDxfId="195"/>
  </tableColumns>
  <tableStyleInfo name="Table Style 1"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333C612-1094-449A-AA0A-80F63507850D}" name="VT_A50" displayName="VT_A50" ref="AQ93:AQ105" totalsRowShown="0" headerRowDxfId="194" dataDxfId="192" headerRowBorderDxfId="193" tableBorderDxfId="191" totalsRowBorderDxfId="190">
  <autoFilter ref="AQ93:AQ105" xr:uid="{8333C612-1094-449A-AA0A-80F63507850D}"/>
  <tableColumns count="1">
    <tableColumn id="1" xr3:uid="{9CBBE285-AB25-448F-BA7C-F0E30420DEA3}" name="VT_A50" dataDxfId="189"/>
  </tableColumns>
  <tableStyleInfo name="Table Style 1"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421BCA-CD59-4912-806D-A048D09307F7}" name="Material_Defect" displayName="Material_Defect" ref="AZ12:AZ15" totalsRowShown="0" headerRowDxfId="188" dataDxfId="186" headerRowBorderDxfId="187" tableBorderDxfId="185">
  <autoFilter ref="AZ12:AZ15" xr:uid="{5C421BCA-CD59-4912-806D-A048D09307F7}"/>
  <tableColumns count="1">
    <tableColumn id="1" xr3:uid="{FAF0A771-F848-407C-9969-4868B1351C20}" name="Material_Defect" dataDxfId="184"/>
  </tableColumns>
  <tableStyleInfo name="Table Style 1"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7CBA6A-F82B-4FC4-AA9D-7562A42AB0FB}" name="Changeover" displayName="Changeover" ref="BA12:BA15" totalsRowShown="0" headerRowDxfId="183" dataDxfId="181" headerRowBorderDxfId="182" tableBorderDxfId="180">
  <autoFilter ref="BA12:BA15" xr:uid="{597CBA6A-F82B-4FC4-AA9D-7562A42AB0FB}"/>
  <tableColumns count="1">
    <tableColumn id="1" xr3:uid="{8B7E609F-3D49-4A24-9126-A686DFD99BED}" name="Changeover" dataDxfId="179"/>
  </tableColumns>
  <tableStyleInfo name="Table Style 1"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23D3EEC-B54C-4C30-BA8B-A89E89C8E86B}" name="Logistics_Delay" displayName="Logistics_Delay" ref="BB12:BB15" totalsRowShown="0" headerRowDxfId="178" dataDxfId="176" headerRowBorderDxfId="177" tableBorderDxfId="175">
  <autoFilter ref="BB12:BB15" xr:uid="{423D3EEC-B54C-4C30-BA8B-A89E89C8E86B}"/>
  <tableColumns count="1">
    <tableColumn id="1" xr3:uid="{1F0DE920-5C2C-4B3B-8737-A0036D8CFE11}" name="Logistics_Delay" dataDxfId="174"/>
  </tableColumns>
  <tableStyleInfo name="Table Style 1"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E14289-B122-4850-BB94-97A1350E0ED1}" name="IT_System_Failure" displayName="IT_System_Failure" ref="BC12:BC15" totalsRowShown="0" headerRowDxfId="173" dataDxfId="171" headerRowBorderDxfId="172" tableBorderDxfId="170">
  <autoFilter ref="BC12:BC15" xr:uid="{7FE14289-B122-4850-BB94-97A1350E0ED1}"/>
  <tableColumns count="1">
    <tableColumn id="1" xr3:uid="{3B1DDB54-F409-45A5-9031-CA9E2200B560}" name="IT_System_Failure" dataDxfId="169"/>
  </tableColumns>
  <tableStyleInfo name="Table Style 1"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D4E43F-BC70-4965-ADDB-EAC8ED2DCB0A}" name="Accident_Safety_Stop" displayName="Accident_Safety_Stop" ref="BD12:BD15" totalsRowShown="0" headerRowDxfId="168" dataDxfId="166" headerRowBorderDxfId="167" tableBorderDxfId="165">
  <autoFilter ref="BD12:BD15" xr:uid="{26D4E43F-BC70-4965-ADDB-EAC8ED2DCB0A}"/>
  <tableColumns count="1">
    <tableColumn id="1" xr3:uid="{2546058D-5B27-4961-B11F-71F87EA1A2DE}" name="Accident_Safety_Stop" dataDxfId="164"/>
  </tableColumns>
  <tableStyleInfo name="Table Style 1"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7FAFBCF-C507-4E12-BDF9-6D71FF206DFF}" name="Operator_Absence" displayName="Operator_Absence" ref="BE12:BE14" totalsRowShown="0" headerRowDxfId="163" dataDxfId="161" headerRowBorderDxfId="162" tableBorderDxfId="160">
  <autoFilter ref="BE12:BE14" xr:uid="{A7FAFBCF-C507-4E12-BDF9-6D71FF206DFF}"/>
  <tableColumns count="1">
    <tableColumn id="1" xr3:uid="{F77ECCEE-12BB-43D1-9A38-D0119B39EE85}" name="Operator_Absence" dataDxfId="159"/>
  </tableColumns>
  <tableStyleInfo name="Table Style 1"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1F1EE08-A9D8-4CE7-964A-B065E3FD5B69}" name="VT_340" displayName="VT_340" ref="BC37:BC49" totalsRowShown="0" headerRowDxfId="158" dataDxfId="156" headerRowBorderDxfId="157" tableBorderDxfId="155">
  <autoFilter ref="BC37:BC49" xr:uid="{F1F1EE08-A9D8-4CE7-964A-B065E3FD5B69}"/>
  <tableColumns count="1">
    <tableColumn id="1" xr3:uid="{A3F0B34B-9F6E-43C3-9C9E-469647CE8299}" name="VT_340" dataDxfId="154"/>
  </tableColumns>
  <tableStyleInfo name="Table Style 1"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6319FF4-6A4C-40F9-A136-E93D7E2F60CD}" name="RK_350" displayName="RK_350" ref="BD37:BD49" totalsRowShown="0" headerRowDxfId="153" dataDxfId="151" headerRowBorderDxfId="152" tableBorderDxfId="150">
  <autoFilter ref="BD37:BD49" xr:uid="{F6319FF4-6A4C-40F9-A136-E93D7E2F60CD}"/>
  <tableColumns count="1">
    <tableColumn id="1" xr3:uid="{78400A5E-E2D2-4CEA-BABD-449888E97362}" name="RK_350" dataDxfId="149"/>
  </tableColumns>
  <tableStyleInfo name="Table Style 1"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1A86D00-A526-41E8-8ADE-4B819A2C2F02}" name="GE_640" displayName="GE_640" ref="AZ55:AZ67" totalsRowShown="0" headerRowDxfId="148" dataDxfId="146" headerRowBorderDxfId="147" tableBorderDxfId="145" totalsRowBorderDxfId="144">
  <autoFilter ref="AZ55:AZ67" xr:uid="{F1A86D00-A526-41E8-8ADE-4B819A2C2F02}"/>
  <tableColumns count="1">
    <tableColumn id="1" xr3:uid="{A2B61AF3-A9D6-44A9-BE5B-D3778B556D65}" name="GE_640" dataDxfId="143"/>
  </tableColumns>
  <tableStyleInfo name="Table Style 1"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E6F9E36-4318-4EE6-87EF-19C8F08CC9B8}" name="VT_650" displayName="VT_650" ref="BA55:BA67" totalsRowShown="0" headerRowDxfId="142" dataDxfId="140" headerRowBorderDxfId="141" tableBorderDxfId="139" totalsRowBorderDxfId="138">
  <autoFilter ref="BA55:BA67" xr:uid="{1E6F9E36-4318-4EE6-87EF-19C8F08CC9B8}"/>
  <tableColumns count="1">
    <tableColumn id="1" xr3:uid="{12ED981B-5959-4448-A93A-590637286667}" name="VT_650" dataDxfId="137"/>
  </tableColumns>
  <tableStyleInfo name="Table Style 1"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234FFC-1C72-4629-B66E-FE90583BBC45}" name="HS_B40" displayName="HS_B40" ref="AU93:AU105" totalsRowShown="0" headerRowDxfId="136" dataDxfId="134" headerRowBorderDxfId="135" tableBorderDxfId="133" totalsRowBorderDxfId="132">
  <autoFilter ref="AU93:AU105" xr:uid="{1A234FFC-1C72-4629-B66E-FE90583BBC45}"/>
  <tableColumns count="1">
    <tableColumn id="1" xr3:uid="{C6D40754-E2D7-493C-BD04-82A81D13FC56}" name="HS_B40" dataDxfId="131"/>
  </tableColumns>
  <tableStyleInfo name="Table Style 1"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F00B9A1-CE84-4ECA-93F0-279B3F86EDA3}" name="US_B50" displayName="US_B50" ref="AV93:AV105" totalsRowShown="0" headerRowDxfId="130" dataDxfId="128" headerRowBorderDxfId="129" tableBorderDxfId="127" totalsRowBorderDxfId="126">
  <autoFilter ref="AV93:AV105" xr:uid="{1F00B9A1-CE84-4ECA-93F0-279B3F86EDA3}"/>
  <tableColumns count="1">
    <tableColumn id="1" xr3:uid="{2E2F5823-EFC5-452A-8C48-C60BFD99EEA6}" name="US_B50" dataDxfId="125"/>
  </tableColumns>
  <tableStyleInfo name="Table Style 1"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D83B9CF-367C-49A9-B85E-04C53372887B}" name="LS_C10" displayName="LS_C10" ref="AW93:AW105" totalsRowShown="0" headerRowDxfId="124" dataDxfId="122" headerRowBorderDxfId="123" tableBorderDxfId="121" totalsRowBorderDxfId="120">
  <autoFilter ref="AW93:AW105" xr:uid="{ED83B9CF-367C-49A9-B85E-04C53372887B}"/>
  <tableColumns count="1">
    <tableColumn id="1" xr3:uid="{024846C2-023D-490B-9397-DFD4BBAA2AB4}" name="LS_C10" dataDxfId="119"/>
  </tableColumns>
  <tableStyleInfo name="Table Style 1"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2D37A97-9CE3-4D21-A495-1022DE752BBC}" name="RW_C20" displayName="RW_C20" ref="AX93:AX105" totalsRowShown="0" headerRowDxfId="118" dataDxfId="116" headerRowBorderDxfId="117" tableBorderDxfId="115" totalsRowBorderDxfId="114">
  <autoFilter ref="AX93:AX105" xr:uid="{72D37A97-9CE3-4D21-A495-1022DE752BBC}"/>
  <tableColumns count="1">
    <tableColumn id="1" xr3:uid="{EBD88EDD-9633-4D1E-B51D-876435C39A15}" name="RW_C20" dataDxfId="113"/>
  </tableColumns>
  <tableStyleInfo name="Table Style 1"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D962AC5-CB45-49CC-AEA8-F1C881672E01}" name="GE_C30" displayName="GE_C30" ref="AY93:AY105" totalsRowShown="0" headerRowDxfId="112" dataDxfId="110" headerRowBorderDxfId="111" tableBorderDxfId="109" totalsRowBorderDxfId="108">
  <autoFilter ref="AY93:AY105" xr:uid="{3D962AC5-CB45-49CC-AEA8-F1C881672E01}"/>
  <tableColumns count="1">
    <tableColumn id="1" xr3:uid="{F0F7970F-D3CE-4E55-8CAC-46BADCD2EAB5}" name="GE_C30" dataDxfId="107"/>
  </tableColumns>
  <tableStyleInfo name="Table Style 1"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7A8BD2FB-3A43-4CF2-8C94-11CC9B641A76}" name="QC_C40" displayName="QC_C40" ref="AZ93:AZ105" totalsRowShown="0" headerRowDxfId="106" dataDxfId="104" headerRowBorderDxfId="105" tableBorderDxfId="103" totalsRowBorderDxfId="102">
  <autoFilter ref="AZ93:AZ105" xr:uid="{7A8BD2FB-3A43-4CF2-8C94-11CC9B641A76}"/>
  <tableColumns count="1">
    <tableColumn id="1" xr3:uid="{330AC2E4-451E-4620-B3F9-2AF61E7051BE}" name="QC_C40" dataDxfId="101"/>
  </tableColumns>
  <tableStyleInfo name="Table Style 1"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1CCA4DD-14AF-464C-B888-73A029DB6B1F}" name="US_C50" displayName="US_C50" ref="BA93:BA105" totalsRowShown="0" headerRowDxfId="100" dataDxfId="98" headerRowBorderDxfId="99" tableBorderDxfId="97" totalsRowBorderDxfId="96">
  <autoFilter ref="BA93:BA105" xr:uid="{D1CCA4DD-14AF-464C-B888-73A029DB6B1F}"/>
  <tableColumns count="1">
    <tableColumn id="1" xr3:uid="{F3C9ECE4-B08E-4857-8336-073BEB6D14E0}" name="US_C50" dataDxfId="95"/>
  </tableColumns>
  <tableStyleInfo name="Table Style 1"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040740-48BF-4B87-A9E3-C0D128488711}" name="LS_D10" displayName="LS_D10" ref="AM112:AM124" totalsRowShown="0" headerRowDxfId="94" dataDxfId="92" headerRowBorderDxfId="93" tableBorderDxfId="91" totalsRowBorderDxfId="90">
  <autoFilter ref="AM112:AM124" xr:uid="{95040740-48BF-4B87-A9E3-C0D128488711}"/>
  <tableColumns count="1">
    <tableColumn id="1" xr3:uid="{6D969E6C-E4F6-4C6F-B58E-DD0281A2491B}" name="LS_D10" dataDxfId="89"/>
  </tableColumns>
  <tableStyleInfo name="Table Style 1"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0F14323-A912-4BDF-807A-41226A7E5DD7}" name="RW_D20" displayName="RW_D20" ref="AN112:AN124" totalsRowShown="0" headerRowDxfId="88" dataDxfId="86" headerRowBorderDxfId="87" tableBorderDxfId="85" totalsRowBorderDxfId="84">
  <autoFilter ref="AN112:AN124" xr:uid="{A0F14323-A912-4BDF-807A-41226A7E5DD7}"/>
  <tableColumns count="1">
    <tableColumn id="1" xr3:uid="{6620A143-D5C3-4836-9266-6ED29DBC9D61}" name="RW_D20" dataDxfId="83"/>
  </tableColumns>
  <tableStyleInfo name="Table Style 1"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6CCAC1C-737A-4A7C-A522-86EC853D9021}" name="GE_D30" displayName="GE_D30" ref="AO112:AO124" totalsRowShown="0" headerRowDxfId="82" dataDxfId="80" headerRowBorderDxfId="81" tableBorderDxfId="79" totalsRowBorderDxfId="78">
  <autoFilter ref="AO112:AO124" xr:uid="{06CCAC1C-737A-4A7C-A522-86EC853D9021}"/>
  <tableColumns count="1">
    <tableColumn id="1" xr3:uid="{1CC6B9BD-CA51-4DEC-A174-C468E617D0D0}" name="GE_D30" dataDxfId="77"/>
  </tableColumns>
  <tableStyleInfo name="Table Style 1"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E5967FE-C857-409C-ACFB-836AE4882534}" name="QC_D40" displayName="QC_D40" ref="AP112:AP124" totalsRowShown="0" headerRowDxfId="76" dataDxfId="74" headerRowBorderDxfId="75" tableBorderDxfId="73" totalsRowBorderDxfId="72">
  <autoFilter ref="AP112:AP124" xr:uid="{DE5967FE-C857-409C-ACFB-836AE4882534}"/>
  <tableColumns count="1">
    <tableColumn id="1" xr3:uid="{C5CAE99A-6867-4695-80A3-F81DC72410F4}" name="QC_D40" dataDxfId="71"/>
  </tableColumns>
  <tableStyleInfo name="Table Style 1"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812C12C-4830-4751-B618-54898EBE35FA}" name="US_D50" displayName="US_D50" ref="AQ112:AQ124" totalsRowShown="0" headerRowDxfId="70" dataDxfId="68" headerRowBorderDxfId="69" tableBorderDxfId="67" totalsRowBorderDxfId="66">
  <autoFilter ref="AQ112:AQ124" xr:uid="{F812C12C-4830-4751-B618-54898EBE35FA}"/>
  <tableColumns count="1">
    <tableColumn id="1" xr3:uid="{E6E390C9-2104-4E65-9A9F-55008B63A014}" name="US_D50" dataDxfId="65"/>
  </tableColumns>
  <tableStyleInfo name="Table Style 1"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A23FA5B-D116-4A14-84AD-BBCCEE547D99}" name="LS_E10" displayName="LS_E10" ref="AR112:AR124" totalsRowShown="0" headerRowDxfId="64" dataDxfId="62" headerRowBorderDxfId="63" tableBorderDxfId="61" totalsRowBorderDxfId="60">
  <autoFilter ref="AR112:AR124" xr:uid="{CA23FA5B-D116-4A14-84AD-BBCCEE547D99}"/>
  <tableColumns count="1">
    <tableColumn id="1" xr3:uid="{1CA366ED-CDBA-48E0-8BE3-054AECE29BCD}" name="LS_E10" dataDxfId="59"/>
  </tableColumns>
  <tableStyleInfo name="Table Style 1"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B7FE318-029D-45F5-A9B5-44D2984B004E}" name="RW_E20" displayName="RW_E20" ref="AS112:AS124" totalsRowShown="0" headerRowDxfId="58" dataDxfId="56" headerRowBorderDxfId="57" tableBorderDxfId="55" totalsRowBorderDxfId="54">
  <autoFilter ref="AS112:AS124" xr:uid="{EB7FE318-029D-45F5-A9B5-44D2984B004E}"/>
  <tableColumns count="1">
    <tableColumn id="1" xr3:uid="{960F39AB-4479-4D1E-B1F7-FA9EBF168090}" name="RW_E20" dataDxfId="53"/>
  </tableColumns>
  <tableStyleInfo name="Table Style 1"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A6B6714A-24D1-4715-9C0E-63926473B1D0}" name="MW_E30" displayName="MW_E30" ref="AT112:AT124" totalsRowShown="0" headerRowDxfId="52" dataDxfId="50" headerRowBorderDxfId="51" tableBorderDxfId="49" totalsRowBorderDxfId="48">
  <autoFilter ref="AT112:AT124" xr:uid="{A6B6714A-24D1-4715-9C0E-63926473B1D0}"/>
  <tableColumns count="1">
    <tableColumn id="1" xr3:uid="{C59D4584-DCD5-4E72-9360-3242F2B99D5A}" name="MW_E30" dataDxfId="47"/>
  </tableColumns>
  <tableStyleInfo name="Table Style 1"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74DEDDC6-C9AF-47CA-9011-038F155D624B}" name="GE_E40" displayName="GE_E40" ref="AU112:AU124" totalsRowShown="0" headerRowDxfId="46" dataDxfId="44" headerRowBorderDxfId="45" tableBorderDxfId="43" totalsRowBorderDxfId="42">
  <autoFilter ref="AU112:AU124" xr:uid="{74DEDDC6-C9AF-47CA-9011-038F155D624B}"/>
  <tableColumns count="1">
    <tableColumn id="1" xr3:uid="{020636D9-1BC7-4861-B2D8-7844F647B1DC}" name="GE_E40" dataDxfId="41"/>
  </tableColumns>
  <tableStyleInfo name="Table Style 1"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1E0A8DC-0B4E-464C-AD67-3A5674D8EB70}" name="VT_E50" displayName="VT_E50" ref="AV112:AV124" totalsRowShown="0" headerRowDxfId="40" dataDxfId="38" headerRowBorderDxfId="39" tableBorderDxfId="37" totalsRowBorderDxfId="36">
  <autoFilter ref="AV112:AV124" xr:uid="{41E0A8DC-0B4E-464C-AD67-3A5674D8EB70}"/>
  <tableColumns count="1">
    <tableColumn id="1" xr3:uid="{37767957-9A68-4975-AF76-5AF4F2E699BB}" name="VT_E50" dataDxfId="35"/>
  </tableColumns>
  <tableStyleInfo name="Table Style 1"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303964D2-0111-471D-8063-C492E7DD59EA}" name="WA_31089" displayName="WA_31089" ref="AW112:AW124" totalsRowShown="0" headerRowDxfId="34" dataDxfId="32" headerRowBorderDxfId="33" tableBorderDxfId="31">
  <autoFilter ref="AW112:AW124" xr:uid="{303964D2-0111-471D-8063-C492E7DD59EA}"/>
  <tableColumns count="1">
    <tableColumn id="1" xr3:uid="{BE1199E6-EFBC-4A63-8810-D4BE2C57D9D3}" name="WA_310" dataDxfId="30"/>
  </tableColumns>
  <tableStyleInfo name="Table Style 1"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47E2319E-9917-4676-B79A-1064AA7AB8AD}" name="AS_32090" displayName="AS_32090" ref="AX112:AX124" totalsRowShown="0" headerRowDxfId="29" dataDxfId="27" headerRowBorderDxfId="28" tableBorderDxfId="26">
  <autoFilter ref="AX112:AX124" xr:uid="{47E2319E-9917-4676-B79A-1064AA7AB8AD}"/>
  <tableColumns count="1">
    <tableColumn id="1" xr3:uid="{67098028-5DEA-4F90-BCDE-F141C53CB420}" name="AS_320" dataDxfId="25"/>
  </tableColumns>
  <tableStyleInfo name="Table Style 1"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5B2299E3-4D63-4A41-A4B2-01C6BCFAB81F}" name="FT_33091" displayName="FT_33091" ref="AY112:AY124" totalsRowShown="0" headerRowDxfId="24" dataDxfId="22" headerRowBorderDxfId="23" tableBorderDxfId="21">
  <autoFilter ref="AY112:AY124" xr:uid="{5B2299E3-4D63-4A41-A4B2-01C6BCFAB81F}"/>
  <tableColumns count="1">
    <tableColumn id="1" xr3:uid="{54D50241-62CF-468C-A784-65FC282C8E29}" name="FT_330" dataDxfId="20"/>
  </tableColumns>
  <tableStyleInfo name="Table Style 1"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E93F1837-FB3B-4CFE-B16B-50C9D938B1C3}" name="VT_34092" displayName="VT_34092" ref="AZ112:AZ124" totalsRowShown="0" headerRowDxfId="19" dataDxfId="17" headerRowBorderDxfId="18" tableBorderDxfId="16">
  <autoFilter ref="AZ112:AZ124" xr:uid="{E93F1837-FB3B-4CFE-B16B-50C9D938B1C3}"/>
  <tableColumns count="1">
    <tableColumn id="1" xr3:uid="{8383C0AD-F30B-4F21-B431-0A0161E0E3D4}" name="VT_340" dataDxfId="15"/>
  </tableColumns>
  <tableStyleInfo name="Table Style 1"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21D88AA8-5060-4499-B584-FAE32CBEE1E4}" name="RK_35093" displayName="RK_35093" ref="BA112:BA124" totalsRowShown="0" headerRowDxfId="14" dataDxfId="12" headerRowBorderDxfId="13" tableBorderDxfId="11">
  <autoFilter ref="BA112:BA124" xr:uid="{21D88AA8-5060-4499-B584-FAE32CBEE1E4}"/>
  <tableColumns count="1">
    <tableColumn id="1" xr3:uid="{8F5012A9-9E9F-4EFC-8E0C-5DACED925D46}" name="RK_350" dataDxfId="10"/>
  </tableColumns>
  <tableStyleInfo name="Table Style 1"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2283F28C-704E-4442-9BBB-52A25CB7460F}" name="mercedez_gle_580_rear_bumper_line_1_working_stations" displayName="mercedez_gle_580_rear_bumper_line_1_working_stations" ref="DQ7:DQ12" totalsRowShown="0" headerRowDxfId="9" dataDxfId="7" headerRowBorderDxfId="8" tableBorderDxfId="6">
  <autoFilter ref="DQ7:DQ12" xr:uid="{2283F28C-704E-4442-9BBB-52A25CB7460F}"/>
  <tableColumns count="1">
    <tableColumn id="1" xr3:uid="{ED4EF764-C5E6-4515-8C6D-BCDFC989EA09}" name="Working Stations" dataDxfId="5"/>
  </tableColumns>
  <tableStyleInfo name="Table Style 1"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58E6854B-3857-4219-B33F-C262F90DB12F}" name="tbl_falhas" displayName="tbl_falhas" ref="A1:K6" totalsRowShown="0">
  <autoFilter ref="A1:K6" xr:uid="{58E6854B-3857-4219-B33F-C262F90DB12F}"/>
  <tableColumns count="11">
    <tableColumn id="1" xr3:uid="{BA33B643-B89A-4D45-A11D-F7224E1BB81B}" name="ID"/>
    <tableColumn id="2" xr3:uid="{6E743A2B-909A-4CD1-BCE3-A84EEAF034A5}" name="date" dataDxfId="4"/>
    <tableColumn id="3" xr3:uid="{D119A28F-FB69-417A-B62C-78C6375343E0}" name="line"/>
    <tableColumn id="4" xr3:uid="{97331A36-6CE8-4134-AEF6-9CA9F0A55911}" name="schedule" dataDxfId="3"/>
    <tableColumn id="5" xr3:uid="{117B09C2-C3AB-4648-A27C-0CE62AD6278C}" name="unplanned_stoppages"/>
    <tableColumn id="6" xr3:uid="{CD4BECB8-3B40-47BC-8EFA-6DEDA0299F69}" name="planned_stoppages"/>
    <tableColumn id="7" xr3:uid="{5AF158F5-7587-426F-9BCE-DF9695E8E6BE}" name="work_station"/>
    <tableColumn id="8" xr3:uid="{A4DAF411-79E9-4281-B48A-EFC84B97F5CC}" name="equipment"/>
    <tableColumn id="9" xr3:uid="{6AACFFCD-9C8E-4098-871C-678AB8DCDDEA}" name="failure_type"/>
    <tableColumn id="10" xr3:uid="{7B209E91-5FF1-4CCB-9494-B894C6F96C73}" name="sub_code"/>
    <tableColumn id="11" xr3:uid="{5D20EBDA-CCBF-4080-9DCD-6B65D6CDB8F2}" name="failure_description"/>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B1C97D05-3F49-424B-916B-146B1C8DFF33}" name="tbl_status" displayName="tbl_status" ref="A8:P9" totalsRowShown="0">
  <autoFilter ref="A8:P9" xr:uid="{B1C97D05-3F49-424B-916B-146B1C8DFF33}"/>
  <tableColumns count="16">
    <tableColumn id="1" xr3:uid="{F4D7F245-ADD7-457C-992F-5633A4B12E3F}" name="ID"/>
    <tableColumn id="2" xr3:uid="{7A1554BE-8F61-4FBA-A885-E6101A82237F}" name="date" dataDxfId="0"/>
    <tableColumn id="3" xr3:uid="{5D008EAA-C24E-4A68-A929-9D8BDB50144B}" name="line"/>
    <tableColumn id="4" xr3:uid="{D2F05A5E-2FD3-400E-B1A0-8A0E29FD6A15}" name="shift"/>
    <tableColumn id="5" xr3:uid="{B9FF1FB8-1227-4302-9D8D-D1E920E23AD9}" name="team_leader"/>
    <tableColumn id="6" xr3:uid="{A57D6B41-C87F-425A-A14B-9A3FA94760C0}" name="num_operators"/>
    <tableColumn id="7" xr3:uid="{5B7E4579-90FF-4B09-9846-12284F79D465}" name="total_expected_output"/>
    <tableColumn id="8" xr3:uid="{E6CEF0C6-5E38-45A8-AA50-DAB6F2461B50}" name="total_produced"/>
    <tableColumn id="9" xr3:uid="{6EECC024-7C40-41E1-92BB-66888A0E5AE2}" name="nok_parts"/>
    <tableColumn id="10" xr3:uid="{7A22960E-649B-41AF-A8BD-C9C53B079746}" name="reworked_parts"/>
    <tableColumn id="11" xr3:uid="{B94BE4F7-D11E-4B31-B645-3BF58EB2982A}" name="accidents"/>
    <tableColumn id="12" xr3:uid="{F6175F70-D96E-4A40-9988-2431EBC9231F}" name="near_misses"/>
    <tableColumn id="13" xr3:uid="{085E5BC5-B955-4587-9CF5-27295FEDB904}" name="customer_complaints"/>
    <tableColumn id="14" xr3:uid="{55166136-E7E5-4E20-A55A-DC6021DAC8ED}" name="observations"/>
    <tableColumn id="15" xr3:uid="{248C68FA-3041-45D1-8584-BFB6FAEAFBF3}" name="version"/>
    <tableColumn id="16" xr3:uid="{E5FD6F18-3C65-4238-AD64-045BCC761C9C}" name="cycle_ti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8429D59-3B36-4A9D-8877-929D4D30AEFB}">
  <we:reference id="wa200009404" version="1.0.0.8" store="en-GB" storeType="OMEX"/>
  <we:alternateReferences>
    <we:reference id="WA200009404" version="1.0.0.8" store="WA2000094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7.xml.rels><?xml version="1.0" encoding="UTF-8" standalone="yes"?>
<Relationships xmlns="http://schemas.openxmlformats.org/package/2006/relationships"><Relationship Id="rId26" Type="http://schemas.openxmlformats.org/officeDocument/2006/relationships/table" Target="../tables/table34.xml"/><Relationship Id="rId21" Type="http://schemas.openxmlformats.org/officeDocument/2006/relationships/table" Target="../tables/table29.xml"/><Relationship Id="rId42" Type="http://schemas.openxmlformats.org/officeDocument/2006/relationships/table" Target="../tables/table50.xml"/><Relationship Id="rId47" Type="http://schemas.openxmlformats.org/officeDocument/2006/relationships/table" Target="../tables/table55.xml"/><Relationship Id="rId63" Type="http://schemas.openxmlformats.org/officeDocument/2006/relationships/table" Target="../tables/table71.xml"/><Relationship Id="rId68" Type="http://schemas.openxmlformats.org/officeDocument/2006/relationships/table" Target="../tables/table76.xml"/><Relationship Id="rId84" Type="http://schemas.openxmlformats.org/officeDocument/2006/relationships/table" Target="../tables/table92.xml"/><Relationship Id="rId89" Type="http://schemas.openxmlformats.org/officeDocument/2006/relationships/table" Target="../tables/table97.xml"/><Relationship Id="rId16" Type="http://schemas.openxmlformats.org/officeDocument/2006/relationships/table" Target="../tables/table24.xml"/><Relationship Id="rId11" Type="http://schemas.openxmlformats.org/officeDocument/2006/relationships/table" Target="../tables/table19.xml"/><Relationship Id="rId32" Type="http://schemas.openxmlformats.org/officeDocument/2006/relationships/table" Target="../tables/table40.xml"/><Relationship Id="rId37" Type="http://schemas.openxmlformats.org/officeDocument/2006/relationships/table" Target="../tables/table45.xml"/><Relationship Id="rId53" Type="http://schemas.openxmlformats.org/officeDocument/2006/relationships/table" Target="../tables/table61.xml"/><Relationship Id="rId58" Type="http://schemas.openxmlformats.org/officeDocument/2006/relationships/table" Target="../tables/table66.xml"/><Relationship Id="rId74" Type="http://schemas.openxmlformats.org/officeDocument/2006/relationships/table" Target="../tables/table82.xml"/><Relationship Id="rId79" Type="http://schemas.openxmlformats.org/officeDocument/2006/relationships/table" Target="../tables/table87.xml"/><Relationship Id="rId5" Type="http://schemas.openxmlformats.org/officeDocument/2006/relationships/table" Target="../tables/table13.xml"/><Relationship Id="rId90" Type="http://schemas.openxmlformats.org/officeDocument/2006/relationships/table" Target="../tables/table98.xml"/><Relationship Id="rId95" Type="http://schemas.openxmlformats.org/officeDocument/2006/relationships/table" Target="../tables/table103.xml"/><Relationship Id="rId22" Type="http://schemas.openxmlformats.org/officeDocument/2006/relationships/table" Target="../tables/table30.xml"/><Relationship Id="rId27" Type="http://schemas.openxmlformats.org/officeDocument/2006/relationships/table" Target="../tables/table35.xml"/><Relationship Id="rId43" Type="http://schemas.openxmlformats.org/officeDocument/2006/relationships/table" Target="../tables/table51.xml"/><Relationship Id="rId48" Type="http://schemas.openxmlformats.org/officeDocument/2006/relationships/table" Target="../tables/table56.xml"/><Relationship Id="rId64" Type="http://schemas.openxmlformats.org/officeDocument/2006/relationships/table" Target="../tables/table72.xml"/><Relationship Id="rId69" Type="http://schemas.openxmlformats.org/officeDocument/2006/relationships/table" Target="../tables/table77.xml"/><Relationship Id="rId80" Type="http://schemas.openxmlformats.org/officeDocument/2006/relationships/table" Target="../tables/table88.xml"/><Relationship Id="rId85" Type="http://schemas.openxmlformats.org/officeDocument/2006/relationships/table" Target="../tables/table93.xml"/><Relationship Id="rId3" Type="http://schemas.openxmlformats.org/officeDocument/2006/relationships/table" Target="../tables/table11.xml"/><Relationship Id="rId12" Type="http://schemas.openxmlformats.org/officeDocument/2006/relationships/table" Target="../tables/table20.xml"/><Relationship Id="rId17" Type="http://schemas.openxmlformats.org/officeDocument/2006/relationships/table" Target="../tables/table25.xml"/><Relationship Id="rId25" Type="http://schemas.openxmlformats.org/officeDocument/2006/relationships/table" Target="../tables/table33.xml"/><Relationship Id="rId33" Type="http://schemas.openxmlformats.org/officeDocument/2006/relationships/table" Target="../tables/table41.xml"/><Relationship Id="rId38" Type="http://schemas.openxmlformats.org/officeDocument/2006/relationships/table" Target="../tables/table46.xml"/><Relationship Id="rId46" Type="http://schemas.openxmlformats.org/officeDocument/2006/relationships/table" Target="../tables/table54.xml"/><Relationship Id="rId59" Type="http://schemas.openxmlformats.org/officeDocument/2006/relationships/table" Target="../tables/table67.xml"/><Relationship Id="rId67" Type="http://schemas.openxmlformats.org/officeDocument/2006/relationships/table" Target="../tables/table75.xml"/><Relationship Id="rId20" Type="http://schemas.openxmlformats.org/officeDocument/2006/relationships/table" Target="../tables/table28.xml"/><Relationship Id="rId41" Type="http://schemas.openxmlformats.org/officeDocument/2006/relationships/table" Target="../tables/table49.xml"/><Relationship Id="rId54" Type="http://schemas.openxmlformats.org/officeDocument/2006/relationships/table" Target="../tables/table62.xml"/><Relationship Id="rId62" Type="http://schemas.openxmlformats.org/officeDocument/2006/relationships/table" Target="../tables/table70.xml"/><Relationship Id="rId70" Type="http://schemas.openxmlformats.org/officeDocument/2006/relationships/table" Target="../tables/table78.xml"/><Relationship Id="rId75" Type="http://schemas.openxmlformats.org/officeDocument/2006/relationships/table" Target="../tables/table83.xml"/><Relationship Id="rId83" Type="http://schemas.openxmlformats.org/officeDocument/2006/relationships/table" Target="../tables/table91.xml"/><Relationship Id="rId88" Type="http://schemas.openxmlformats.org/officeDocument/2006/relationships/table" Target="../tables/table96.xml"/><Relationship Id="rId91" Type="http://schemas.openxmlformats.org/officeDocument/2006/relationships/table" Target="../tables/table99.xml"/><Relationship Id="rId96" Type="http://schemas.openxmlformats.org/officeDocument/2006/relationships/table" Target="../tables/table104.xml"/><Relationship Id="rId1" Type="http://schemas.openxmlformats.org/officeDocument/2006/relationships/printerSettings" Target="../printerSettings/printerSettings2.bin"/><Relationship Id="rId6" Type="http://schemas.openxmlformats.org/officeDocument/2006/relationships/table" Target="../tables/table14.xml"/><Relationship Id="rId15" Type="http://schemas.openxmlformats.org/officeDocument/2006/relationships/table" Target="../tables/table23.xml"/><Relationship Id="rId23" Type="http://schemas.openxmlformats.org/officeDocument/2006/relationships/table" Target="../tables/table31.xml"/><Relationship Id="rId28" Type="http://schemas.openxmlformats.org/officeDocument/2006/relationships/table" Target="../tables/table36.xml"/><Relationship Id="rId36" Type="http://schemas.openxmlformats.org/officeDocument/2006/relationships/table" Target="../tables/table44.xml"/><Relationship Id="rId49" Type="http://schemas.openxmlformats.org/officeDocument/2006/relationships/table" Target="../tables/table57.xml"/><Relationship Id="rId57" Type="http://schemas.openxmlformats.org/officeDocument/2006/relationships/table" Target="../tables/table65.xml"/><Relationship Id="rId10" Type="http://schemas.openxmlformats.org/officeDocument/2006/relationships/table" Target="../tables/table18.xml"/><Relationship Id="rId31" Type="http://schemas.openxmlformats.org/officeDocument/2006/relationships/table" Target="../tables/table39.xml"/><Relationship Id="rId44" Type="http://schemas.openxmlformats.org/officeDocument/2006/relationships/table" Target="../tables/table52.xml"/><Relationship Id="rId52" Type="http://schemas.openxmlformats.org/officeDocument/2006/relationships/table" Target="../tables/table60.xml"/><Relationship Id="rId60" Type="http://schemas.openxmlformats.org/officeDocument/2006/relationships/table" Target="../tables/table68.xml"/><Relationship Id="rId65" Type="http://schemas.openxmlformats.org/officeDocument/2006/relationships/table" Target="../tables/table73.xml"/><Relationship Id="rId73" Type="http://schemas.openxmlformats.org/officeDocument/2006/relationships/table" Target="../tables/table81.xml"/><Relationship Id="rId78" Type="http://schemas.openxmlformats.org/officeDocument/2006/relationships/table" Target="../tables/table86.xml"/><Relationship Id="rId81" Type="http://schemas.openxmlformats.org/officeDocument/2006/relationships/table" Target="../tables/table89.xml"/><Relationship Id="rId86" Type="http://schemas.openxmlformats.org/officeDocument/2006/relationships/table" Target="../tables/table94.xml"/><Relationship Id="rId94" Type="http://schemas.openxmlformats.org/officeDocument/2006/relationships/table" Target="../tables/table102.xml"/><Relationship Id="rId4" Type="http://schemas.openxmlformats.org/officeDocument/2006/relationships/table" Target="../tables/table12.xml"/><Relationship Id="rId9" Type="http://schemas.openxmlformats.org/officeDocument/2006/relationships/table" Target="../tables/table17.xml"/><Relationship Id="rId13" Type="http://schemas.openxmlformats.org/officeDocument/2006/relationships/table" Target="../tables/table21.xml"/><Relationship Id="rId18" Type="http://schemas.openxmlformats.org/officeDocument/2006/relationships/table" Target="../tables/table26.xml"/><Relationship Id="rId39" Type="http://schemas.openxmlformats.org/officeDocument/2006/relationships/table" Target="../tables/table47.xml"/><Relationship Id="rId34" Type="http://schemas.openxmlformats.org/officeDocument/2006/relationships/table" Target="../tables/table42.xml"/><Relationship Id="rId50" Type="http://schemas.openxmlformats.org/officeDocument/2006/relationships/table" Target="../tables/table58.xml"/><Relationship Id="rId55" Type="http://schemas.openxmlformats.org/officeDocument/2006/relationships/table" Target="../tables/table63.xml"/><Relationship Id="rId76" Type="http://schemas.openxmlformats.org/officeDocument/2006/relationships/table" Target="../tables/table84.xml"/><Relationship Id="rId97" Type="http://schemas.openxmlformats.org/officeDocument/2006/relationships/table" Target="../tables/table105.xml"/><Relationship Id="rId7" Type="http://schemas.openxmlformats.org/officeDocument/2006/relationships/table" Target="../tables/table15.xml"/><Relationship Id="rId71" Type="http://schemas.openxmlformats.org/officeDocument/2006/relationships/table" Target="../tables/table79.xml"/><Relationship Id="rId92" Type="http://schemas.openxmlformats.org/officeDocument/2006/relationships/table" Target="../tables/table100.xml"/><Relationship Id="rId2" Type="http://schemas.openxmlformats.org/officeDocument/2006/relationships/table" Target="../tables/table10.xml"/><Relationship Id="rId29" Type="http://schemas.openxmlformats.org/officeDocument/2006/relationships/table" Target="../tables/table37.xml"/><Relationship Id="rId24" Type="http://schemas.openxmlformats.org/officeDocument/2006/relationships/table" Target="../tables/table32.xml"/><Relationship Id="rId40" Type="http://schemas.openxmlformats.org/officeDocument/2006/relationships/table" Target="../tables/table48.xml"/><Relationship Id="rId45" Type="http://schemas.openxmlformats.org/officeDocument/2006/relationships/table" Target="../tables/table53.xml"/><Relationship Id="rId66" Type="http://schemas.openxmlformats.org/officeDocument/2006/relationships/table" Target="../tables/table74.xml"/><Relationship Id="rId87" Type="http://schemas.openxmlformats.org/officeDocument/2006/relationships/table" Target="../tables/table95.xml"/><Relationship Id="rId61" Type="http://schemas.openxmlformats.org/officeDocument/2006/relationships/table" Target="../tables/table69.xml"/><Relationship Id="rId82" Type="http://schemas.openxmlformats.org/officeDocument/2006/relationships/table" Target="../tables/table90.xml"/><Relationship Id="rId19" Type="http://schemas.openxmlformats.org/officeDocument/2006/relationships/table" Target="../tables/table27.xml"/><Relationship Id="rId14" Type="http://schemas.openxmlformats.org/officeDocument/2006/relationships/table" Target="../tables/table22.xml"/><Relationship Id="rId30" Type="http://schemas.openxmlformats.org/officeDocument/2006/relationships/table" Target="../tables/table38.xml"/><Relationship Id="rId35" Type="http://schemas.openxmlformats.org/officeDocument/2006/relationships/table" Target="../tables/table43.xml"/><Relationship Id="rId56" Type="http://schemas.openxmlformats.org/officeDocument/2006/relationships/table" Target="../tables/table64.xml"/><Relationship Id="rId77" Type="http://schemas.openxmlformats.org/officeDocument/2006/relationships/table" Target="../tables/table85.xml"/><Relationship Id="rId8" Type="http://schemas.openxmlformats.org/officeDocument/2006/relationships/table" Target="../tables/table16.xml"/><Relationship Id="rId51" Type="http://schemas.openxmlformats.org/officeDocument/2006/relationships/table" Target="../tables/table59.xml"/><Relationship Id="rId72" Type="http://schemas.openxmlformats.org/officeDocument/2006/relationships/table" Target="../tables/table80.xml"/><Relationship Id="rId93" Type="http://schemas.openxmlformats.org/officeDocument/2006/relationships/table" Target="../tables/table10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7.xml"/><Relationship Id="rId1" Type="http://schemas.openxmlformats.org/officeDocument/2006/relationships/table" Target="../tables/table10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79F08-1C97-4B67-B7BB-6104359E71B6}">
  <sheetPr codeName="Sheet8">
    <tabColor rgb="FFFF0000"/>
  </sheetPr>
  <dimension ref="A1:AF45"/>
  <sheetViews>
    <sheetView showGridLines="0" tabSelected="1" zoomScale="55" zoomScaleNormal="55" workbookViewId="0">
      <selection activeCell="G39" sqref="G39"/>
    </sheetView>
  </sheetViews>
  <sheetFormatPr defaultColWidth="0" defaultRowHeight="12.75" zeroHeight="1" x14ac:dyDescent="0.35"/>
  <cols>
    <col min="1" max="1" width="4.1328125" customWidth="1"/>
    <col min="2" max="2" width="2.265625" customWidth="1"/>
    <col min="3" max="3" width="4.265625" customWidth="1"/>
    <col min="4" max="29" width="9.1328125" customWidth="1"/>
    <col min="30" max="30" width="4.265625" customWidth="1"/>
    <col min="31" max="31" width="2.265625" customWidth="1"/>
    <col min="32" max="32" width="9.1328125" customWidth="1"/>
    <col min="33" max="16384" width="9.1328125" hidden="1"/>
  </cols>
  <sheetData>
    <row r="1" spans="2:31" ht="6" customHeight="1" x14ac:dyDescent="0.35"/>
    <row r="2" spans="2:31" ht="13.15" thickBot="1" x14ac:dyDescent="0.4"/>
    <row r="3" spans="2:31" ht="9.9499999999999993" customHeight="1" x14ac:dyDescent="0.35">
      <c r="B3" s="101"/>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102"/>
      <c r="AC3" s="102"/>
      <c r="AD3" s="102"/>
      <c r="AE3" s="103"/>
    </row>
    <row r="4" spans="2:31" x14ac:dyDescent="0.35">
      <c r="B4" s="104"/>
      <c r="C4" s="105"/>
      <c r="D4" s="105"/>
      <c r="E4" s="105"/>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6"/>
    </row>
    <row r="5" spans="2:31" x14ac:dyDescent="0.35">
      <c r="B5" s="104"/>
      <c r="C5" s="105"/>
      <c r="D5" s="212" t="s">
        <v>41</v>
      </c>
      <c r="E5" s="212"/>
      <c r="F5" s="212"/>
      <c r="G5" s="212"/>
      <c r="H5" s="212"/>
      <c r="I5" s="212"/>
      <c r="J5" s="212"/>
      <c r="K5" s="212"/>
      <c r="L5" s="212"/>
      <c r="M5" s="212"/>
      <c r="N5" s="212"/>
      <c r="O5" s="212"/>
      <c r="P5" s="212"/>
      <c r="Q5" s="212"/>
      <c r="R5" s="212"/>
      <c r="S5" s="212"/>
      <c r="T5" s="212"/>
      <c r="U5" s="212"/>
      <c r="V5" s="212"/>
      <c r="W5" s="212"/>
      <c r="X5" s="212"/>
      <c r="Y5" s="212"/>
      <c r="Z5" s="212"/>
      <c r="AA5" s="212"/>
      <c r="AB5" s="212"/>
      <c r="AC5" s="212"/>
      <c r="AD5" s="105"/>
      <c r="AE5" s="106"/>
    </row>
    <row r="6" spans="2:31" x14ac:dyDescent="0.35">
      <c r="B6" s="104"/>
      <c r="C6" s="105"/>
      <c r="D6" s="212"/>
      <c r="E6" s="212"/>
      <c r="F6" s="212"/>
      <c r="G6" s="212"/>
      <c r="H6" s="212"/>
      <c r="I6" s="212"/>
      <c r="J6" s="212"/>
      <c r="K6" s="212"/>
      <c r="L6" s="212"/>
      <c r="M6" s="212"/>
      <c r="N6" s="212"/>
      <c r="O6" s="212"/>
      <c r="P6" s="212"/>
      <c r="Q6" s="212"/>
      <c r="R6" s="212"/>
      <c r="S6" s="212"/>
      <c r="T6" s="212"/>
      <c r="U6" s="212"/>
      <c r="V6" s="212"/>
      <c r="W6" s="212"/>
      <c r="X6" s="212"/>
      <c r="Y6" s="212"/>
      <c r="Z6" s="212"/>
      <c r="AA6" s="212"/>
      <c r="AB6" s="212"/>
      <c r="AC6" s="212"/>
      <c r="AD6" s="105"/>
      <c r="AE6" s="106"/>
    </row>
    <row r="7" spans="2:31" x14ac:dyDescent="0.35">
      <c r="B7" s="104"/>
      <c r="C7" s="105"/>
      <c r="D7" s="212"/>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105"/>
      <c r="AE7" s="106"/>
    </row>
    <row r="8" spans="2:31" ht="12.75" customHeight="1" x14ac:dyDescent="0.35">
      <c r="B8" s="104"/>
      <c r="C8" s="105"/>
      <c r="D8" s="212"/>
      <c r="E8" s="212"/>
      <c r="F8" s="212"/>
      <c r="G8" s="212"/>
      <c r="H8" s="212"/>
      <c r="I8" s="212"/>
      <c r="J8" s="212"/>
      <c r="K8" s="212"/>
      <c r="L8" s="212"/>
      <c r="M8" s="212"/>
      <c r="N8" s="212"/>
      <c r="O8" s="212"/>
      <c r="P8" s="212"/>
      <c r="Q8" s="212"/>
      <c r="R8" s="212"/>
      <c r="S8" s="212"/>
      <c r="T8" s="212"/>
      <c r="U8" s="212"/>
      <c r="V8" s="212"/>
      <c r="W8" s="212"/>
      <c r="X8" s="212"/>
      <c r="Y8" s="212"/>
      <c r="Z8" s="212"/>
      <c r="AA8" s="212"/>
      <c r="AB8" s="212"/>
      <c r="AC8" s="212"/>
      <c r="AD8" s="105"/>
      <c r="AE8" s="106"/>
    </row>
    <row r="9" spans="2:31" ht="12.75" customHeight="1" x14ac:dyDescent="0.35">
      <c r="B9" s="104"/>
      <c r="C9" s="105"/>
      <c r="D9" s="212"/>
      <c r="E9" s="212"/>
      <c r="F9" s="212"/>
      <c r="G9" s="212"/>
      <c r="H9" s="212"/>
      <c r="I9" s="212"/>
      <c r="J9" s="212"/>
      <c r="K9" s="212"/>
      <c r="L9" s="212"/>
      <c r="M9" s="212"/>
      <c r="N9" s="212"/>
      <c r="O9" s="212"/>
      <c r="P9" s="212"/>
      <c r="Q9" s="212"/>
      <c r="R9" s="212"/>
      <c r="S9" s="212"/>
      <c r="T9" s="212"/>
      <c r="U9" s="212"/>
      <c r="V9" s="212"/>
      <c r="W9" s="212"/>
      <c r="X9" s="212"/>
      <c r="Y9" s="212"/>
      <c r="Z9" s="212"/>
      <c r="AA9" s="212"/>
      <c r="AB9" s="212"/>
      <c r="AC9" s="212"/>
      <c r="AD9" s="105"/>
      <c r="AE9" s="106"/>
    </row>
    <row r="10" spans="2:31" ht="12.75" customHeight="1" x14ac:dyDescent="0.35">
      <c r="B10" s="104"/>
      <c r="C10" s="105"/>
      <c r="D10" s="212"/>
      <c r="E10" s="212"/>
      <c r="F10" s="212"/>
      <c r="G10" s="212"/>
      <c r="H10" s="212"/>
      <c r="I10" s="212"/>
      <c r="J10" s="212"/>
      <c r="K10" s="212"/>
      <c r="L10" s="212"/>
      <c r="M10" s="212"/>
      <c r="N10" s="212"/>
      <c r="O10" s="212"/>
      <c r="P10" s="212"/>
      <c r="Q10" s="212"/>
      <c r="R10" s="212"/>
      <c r="S10" s="212"/>
      <c r="T10" s="212"/>
      <c r="U10" s="212"/>
      <c r="V10" s="212"/>
      <c r="W10" s="212"/>
      <c r="X10" s="212"/>
      <c r="Y10" s="212"/>
      <c r="Z10" s="212"/>
      <c r="AA10" s="212"/>
      <c r="AB10" s="212"/>
      <c r="AC10" s="212"/>
      <c r="AD10" s="105"/>
      <c r="AE10" s="106"/>
    </row>
    <row r="11" spans="2:31" ht="12.75" customHeight="1" x14ac:dyDescent="0.35">
      <c r="B11" s="104"/>
      <c r="C11" s="105"/>
      <c r="D11" s="105"/>
      <c r="E11" s="105"/>
      <c r="F11" s="105"/>
      <c r="G11" s="105"/>
      <c r="H11" s="105"/>
      <c r="I11" s="105"/>
      <c r="J11" s="105"/>
      <c r="K11" s="107"/>
      <c r="L11" s="107"/>
      <c r="M11" s="107"/>
      <c r="N11" s="107"/>
      <c r="O11" s="107"/>
      <c r="P11" s="107"/>
      <c r="Q11" s="107"/>
      <c r="R11" s="107"/>
      <c r="S11" s="107"/>
      <c r="T11" s="107"/>
      <c r="U11" s="107"/>
      <c r="V11" s="107"/>
      <c r="W11" s="105"/>
      <c r="X11" s="105"/>
      <c r="Y11" s="105"/>
      <c r="Z11" s="105"/>
      <c r="AA11" s="105"/>
      <c r="AB11" s="105"/>
      <c r="AC11" s="105"/>
      <c r="AD11" s="105"/>
      <c r="AE11" s="106"/>
    </row>
    <row r="12" spans="2:31" ht="12.75" customHeight="1" x14ac:dyDescent="0.35">
      <c r="B12" s="104"/>
      <c r="C12" s="105"/>
      <c r="D12" s="108"/>
      <c r="E12" s="108"/>
      <c r="F12" s="108"/>
      <c r="G12" s="108"/>
      <c r="H12" s="108"/>
      <c r="I12" s="108"/>
      <c r="J12" s="108"/>
      <c r="K12" s="108"/>
      <c r="L12" s="108"/>
      <c r="M12" s="108"/>
      <c r="N12" s="108"/>
      <c r="O12" s="108"/>
      <c r="P12" s="108"/>
      <c r="Q12" s="108"/>
      <c r="R12" s="108"/>
      <c r="S12" s="108"/>
      <c r="T12" s="108"/>
      <c r="U12" s="108"/>
      <c r="V12" s="108"/>
      <c r="W12" s="108"/>
      <c r="X12" s="108"/>
      <c r="Y12" s="108"/>
      <c r="Z12" s="108"/>
      <c r="AA12" s="108"/>
      <c r="AB12" s="108"/>
      <c r="AC12" s="108"/>
      <c r="AD12" s="105"/>
      <c r="AE12" s="106"/>
    </row>
    <row r="13" spans="2:31" ht="12.75" customHeight="1" x14ac:dyDescent="0.35">
      <c r="B13" s="104"/>
      <c r="C13" s="105"/>
      <c r="D13" s="108"/>
      <c r="E13" s="108"/>
      <c r="F13" s="108"/>
      <c r="G13" s="108"/>
      <c r="H13" s="108"/>
      <c r="I13" s="213" t="s">
        <v>40</v>
      </c>
      <c r="J13" s="213"/>
      <c r="K13" s="213"/>
      <c r="L13" s="213"/>
      <c r="M13" s="213"/>
      <c r="N13" s="213"/>
      <c r="O13" s="213"/>
      <c r="P13" s="213"/>
      <c r="Q13" s="213"/>
      <c r="R13" s="213"/>
      <c r="S13" s="213"/>
      <c r="T13" s="213"/>
      <c r="U13" s="213"/>
      <c r="V13" s="213"/>
      <c r="W13" s="213"/>
      <c r="X13" s="213"/>
      <c r="Y13" s="108"/>
      <c r="Z13" s="108"/>
      <c r="AA13" s="108"/>
      <c r="AB13" s="108"/>
      <c r="AC13" s="108"/>
      <c r="AD13" s="105"/>
      <c r="AE13" s="106"/>
    </row>
    <row r="14" spans="2:31" ht="12.75" customHeight="1" x14ac:dyDescent="0.35">
      <c r="B14" s="104"/>
      <c r="C14" s="105"/>
      <c r="D14" s="108"/>
      <c r="E14" s="108"/>
      <c r="F14" s="108"/>
      <c r="G14" s="108"/>
      <c r="H14" s="108"/>
      <c r="I14" s="213"/>
      <c r="J14" s="213"/>
      <c r="K14" s="213"/>
      <c r="L14" s="213"/>
      <c r="M14" s="213"/>
      <c r="N14" s="213"/>
      <c r="O14" s="213"/>
      <c r="P14" s="213"/>
      <c r="Q14" s="213"/>
      <c r="R14" s="213"/>
      <c r="S14" s="213"/>
      <c r="T14" s="213"/>
      <c r="U14" s="213"/>
      <c r="V14" s="213"/>
      <c r="W14" s="213"/>
      <c r="X14" s="213"/>
      <c r="Y14" s="108"/>
      <c r="Z14" s="108"/>
      <c r="AA14" s="108"/>
      <c r="AB14" s="108"/>
      <c r="AC14" s="108"/>
      <c r="AD14" s="105"/>
      <c r="AE14" s="106"/>
    </row>
    <row r="15" spans="2:31" ht="12.75" customHeight="1" x14ac:dyDescent="0.35">
      <c r="B15" s="104"/>
      <c r="C15" s="105"/>
      <c r="D15" s="108"/>
      <c r="E15" s="108"/>
      <c r="F15" s="108"/>
      <c r="G15" s="108"/>
      <c r="H15" s="108"/>
      <c r="I15" s="213"/>
      <c r="J15" s="213"/>
      <c r="K15" s="213"/>
      <c r="L15" s="213"/>
      <c r="M15" s="213"/>
      <c r="N15" s="213"/>
      <c r="O15" s="213"/>
      <c r="P15" s="213"/>
      <c r="Q15" s="213"/>
      <c r="R15" s="213"/>
      <c r="S15" s="213"/>
      <c r="T15" s="213"/>
      <c r="U15" s="213"/>
      <c r="V15" s="213"/>
      <c r="W15" s="213"/>
      <c r="X15" s="213"/>
      <c r="Y15" s="108"/>
      <c r="Z15" s="108"/>
      <c r="AA15" s="108"/>
      <c r="AB15" s="108"/>
      <c r="AC15" s="108"/>
      <c r="AD15" s="105"/>
      <c r="AE15" s="106"/>
    </row>
    <row r="16" spans="2:31" ht="12.75" customHeight="1" x14ac:dyDescent="0.35">
      <c r="B16" s="104"/>
      <c r="C16" s="105"/>
      <c r="D16" s="108"/>
      <c r="E16" s="108"/>
      <c r="F16" s="108"/>
      <c r="G16" s="108"/>
      <c r="H16" s="108"/>
      <c r="I16" s="213"/>
      <c r="J16" s="213"/>
      <c r="K16" s="213"/>
      <c r="L16" s="213"/>
      <c r="M16" s="213"/>
      <c r="N16" s="213"/>
      <c r="O16" s="213"/>
      <c r="P16" s="213"/>
      <c r="Q16" s="213"/>
      <c r="R16" s="213"/>
      <c r="S16" s="213"/>
      <c r="T16" s="213"/>
      <c r="U16" s="213"/>
      <c r="V16" s="213"/>
      <c r="W16" s="213"/>
      <c r="X16" s="213"/>
      <c r="Y16" s="108"/>
      <c r="Z16" s="108"/>
      <c r="AA16" s="108"/>
      <c r="AB16" s="108"/>
      <c r="AC16" s="108"/>
      <c r="AD16" s="105"/>
      <c r="AE16" s="106"/>
    </row>
    <row r="17" spans="2:31" ht="12.75" customHeight="1" x14ac:dyDescent="0.35">
      <c r="B17" s="104"/>
      <c r="C17" s="105"/>
      <c r="D17" s="108"/>
      <c r="E17" s="108"/>
      <c r="F17" s="108"/>
      <c r="G17" s="108"/>
      <c r="H17" s="108"/>
      <c r="I17" s="213"/>
      <c r="J17" s="213"/>
      <c r="K17" s="213"/>
      <c r="L17" s="213"/>
      <c r="M17" s="213"/>
      <c r="N17" s="213"/>
      <c r="O17" s="213"/>
      <c r="P17" s="213"/>
      <c r="Q17" s="213"/>
      <c r="R17" s="213"/>
      <c r="S17" s="213"/>
      <c r="T17" s="213"/>
      <c r="U17" s="213"/>
      <c r="V17" s="213"/>
      <c r="W17" s="213"/>
      <c r="X17" s="213"/>
      <c r="Y17" s="108"/>
      <c r="Z17" s="108"/>
      <c r="AA17" s="108"/>
      <c r="AB17" s="108"/>
      <c r="AC17" s="108"/>
      <c r="AD17" s="105"/>
      <c r="AE17" s="106"/>
    </row>
    <row r="18" spans="2:31" ht="12.75" customHeight="1" x14ac:dyDescent="0.35">
      <c r="B18" s="104"/>
      <c r="C18" s="105"/>
      <c r="D18" s="108"/>
      <c r="E18" s="108"/>
      <c r="F18" s="108"/>
      <c r="G18" s="108"/>
      <c r="H18" s="108"/>
      <c r="I18" s="213"/>
      <c r="J18" s="213"/>
      <c r="K18" s="213"/>
      <c r="L18" s="213"/>
      <c r="M18" s="213"/>
      <c r="N18" s="213"/>
      <c r="O18" s="213"/>
      <c r="P18" s="213"/>
      <c r="Q18" s="213"/>
      <c r="R18" s="213"/>
      <c r="S18" s="213"/>
      <c r="T18" s="213"/>
      <c r="U18" s="213"/>
      <c r="V18" s="213"/>
      <c r="W18" s="213"/>
      <c r="X18" s="213"/>
      <c r="Y18" s="108"/>
      <c r="Z18" s="108"/>
      <c r="AA18" s="108"/>
      <c r="AB18" s="108"/>
      <c r="AC18" s="108"/>
      <c r="AD18" s="105"/>
      <c r="AE18" s="106"/>
    </row>
    <row r="19" spans="2:31" ht="12.75" customHeight="1" x14ac:dyDescent="0.35">
      <c r="B19" s="104"/>
      <c r="C19" s="105"/>
      <c r="D19" s="108"/>
      <c r="E19" s="108"/>
      <c r="F19" s="108"/>
      <c r="G19" s="108"/>
      <c r="H19" s="108"/>
      <c r="I19" s="213"/>
      <c r="J19" s="213"/>
      <c r="K19" s="213"/>
      <c r="L19" s="213"/>
      <c r="M19" s="213"/>
      <c r="N19" s="213"/>
      <c r="O19" s="213"/>
      <c r="P19" s="213"/>
      <c r="Q19" s="213"/>
      <c r="R19" s="213"/>
      <c r="S19" s="213"/>
      <c r="T19" s="213"/>
      <c r="U19" s="213"/>
      <c r="V19" s="213"/>
      <c r="W19" s="213"/>
      <c r="X19" s="213"/>
      <c r="Y19" s="108"/>
      <c r="Z19" s="108"/>
      <c r="AA19" s="108"/>
      <c r="AB19" s="108"/>
      <c r="AC19" s="108"/>
      <c r="AD19" s="105"/>
      <c r="AE19" s="106"/>
    </row>
    <row r="20" spans="2:31" ht="12.75" customHeight="1" x14ac:dyDescent="0.35">
      <c r="B20" s="104"/>
      <c r="C20" s="105"/>
      <c r="D20" s="108"/>
      <c r="E20" s="108"/>
      <c r="F20" s="108"/>
      <c r="G20" s="108"/>
      <c r="H20" s="108"/>
      <c r="I20" s="213"/>
      <c r="J20" s="213"/>
      <c r="K20" s="213"/>
      <c r="L20" s="213"/>
      <c r="M20" s="213"/>
      <c r="N20" s="213"/>
      <c r="O20" s="213"/>
      <c r="P20" s="213"/>
      <c r="Q20" s="213"/>
      <c r="R20" s="213"/>
      <c r="S20" s="213"/>
      <c r="T20" s="213"/>
      <c r="U20" s="213"/>
      <c r="V20" s="213"/>
      <c r="W20" s="213"/>
      <c r="X20" s="213"/>
      <c r="Y20" s="108"/>
      <c r="Z20" s="108"/>
      <c r="AA20" s="108"/>
      <c r="AB20" s="108"/>
      <c r="AC20" s="108"/>
      <c r="AD20" s="105"/>
      <c r="AE20" s="106"/>
    </row>
    <row r="21" spans="2:31" ht="12.75" customHeight="1" x14ac:dyDescent="0.35">
      <c r="B21" s="104"/>
      <c r="C21" s="105"/>
      <c r="D21" s="108"/>
      <c r="E21" s="108"/>
      <c r="F21" s="108"/>
      <c r="G21" s="108"/>
      <c r="H21" s="108"/>
      <c r="I21" s="213"/>
      <c r="J21" s="213"/>
      <c r="K21" s="213"/>
      <c r="L21" s="213"/>
      <c r="M21" s="213"/>
      <c r="N21" s="213"/>
      <c r="O21" s="213"/>
      <c r="P21" s="213"/>
      <c r="Q21" s="213"/>
      <c r="R21" s="213"/>
      <c r="S21" s="213"/>
      <c r="T21" s="213"/>
      <c r="U21" s="213"/>
      <c r="V21" s="213"/>
      <c r="W21" s="213"/>
      <c r="X21" s="213"/>
      <c r="Y21" s="108"/>
      <c r="Z21" s="108"/>
      <c r="AA21" s="108"/>
      <c r="AB21" s="108"/>
      <c r="AC21" s="108"/>
      <c r="AD21" s="105"/>
      <c r="AE21" s="106"/>
    </row>
    <row r="22" spans="2:31" ht="12.75" customHeight="1" x14ac:dyDescent="0.35">
      <c r="B22" s="104"/>
      <c r="C22" s="105"/>
      <c r="D22" s="108"/>
      <c r="E22" s="108"/>
      <c r="F22" s="108"/>
      <c r="G22" s="108"/>
      <c r="H22" s="108"/>
      <c r="I22" s="213"/>
      <c r="J22" s="213"/>
      <c r="K22" s="213"/>
      <c r="L22" s="213"/>
      <c r="M22" s="213"/>
      <c r="N22" s="213"/>
      <c r="O22" s="213"/>
      <c r="P22" s="213"/>
      <c r="Q22" s="213"/>
      <c r="R22" s="213"/>
      <c r="S22" s="213"/>
      <c r="T22" s="213"/>
      <c r="U22" s="213"/>
      <c r="V22" s="213"/>
      <c r="W22" s="213"/>
      <c r="X22" s="213"/>
      <c r="Y22" s="108"/>
      <c r="Z22" s="108"/>
      <c r="AA22" s="108"/>
      <c r="AB22" s="108"/>
      <c r="AC22" s="108"/>
      <c r="AD22" s="105"/>
      <c r="AE22" s="106"/>
    </row>
    <row r="23" spans="2:31" ht="12.75" customHeight="1" x14ac:dyDescent="0.35">
      <c r="B23" s="104"/>
      <c r="C23" s="105"/>
      <c r="D23" s="108"/>
      <c r="E23" s="108"/>
      <c r="F23" s="108"/>
      <c r="G23" s="108"/>
      <c r="H23" s="108"/>
      <c r="I23" s="213"/>
      <c r="J23" s="213"/>
      <c r="K23" s="213"/>
      <c r="L23" s="213"/>
      <c r="M23" s="213"/>
      <c r="N23" s="213"/>
      <c r="O23" s="213"/>
      <c r="P23" s="213"/>
      <c r="Q23" s="213"/>
      <c r="R23" s="213"/>
      <c r="S23" s="213"/>
      <c r="T23" s="213"/>
      <c r="U23" s="213"/>
      <c r="V23" s="213"/>
      <c r="W23" s="213"/>
      <c r="X23" s="213"/>
      <c r="Y23" s="108"/>
      <c r="Z23" s="108"/>
      <c r="AA23" s="108"/>
      <c r="AB23" s="108"/>
      <c r="AC23" s="108"/>
      <c r="AD23" s="105"/>
      <c r="AE23" s="106"/>
    </row>
    <row r="24" spans="2:31" ht="12.75" customHeight="1" x14ac:dyDescent="0.35">
      <c r="B24" s="104"/>
      <c r="C24" s="105"/>
      <c r="D24" s="108"/>
      <c r="E24" s="108"/>
      <c r="F24" s="108"/>
      <c r="G24" s="108"/>
      <c r="H24" s="108"/>
      <c r="I24" s="213"/>
      <c r="J24" s="213"/>
      <c r="K24" s="213"/>
      <c r="L24" s="213"/>
      <c r="M24" s="213"/>
      <c r="N24" s="213"/>
      <c r="O24" s="213"/>
      <c r="P24" s="213"/>
      <c r="Q24" s="213"/>
      <c r="R24" s="213"/>
      <c r="S24" s="213"/>
      <c r="T24" s="213"/>
      <c r="U24" s="213"/>
      <c r="V24" s="213"/>
      <c r="W24" s="213"/>
      <c r="X24" s="213"/>
      <c r="Y24" s="108"/>
      <c r="Z24" s="108"/>
      <c r="AA24" s="108"/>
      <c r="AB24" s="108"/>
      <c r="AC24" s="108"/>
      <c r="AD24" s="105"/>
      <c r="AE24" s="106"/>
    </row>
    <row r="25" spans="2:31" ht="12.75" customHeight="1" x14ac:dyDescent="0.35">
      <c r="B25" s="104"/>
      <c r="C25" s="105"/>
      <c r="D25" s="108"/>
      <c r="E25" s="108"/>
      <c r="F25" s="108"/>
      <c r="G25" s="108"/>
      <c r="H25" s="108"/>
      <c r="I25" s="213"/>
      <c r="J25" s="213"/>
      <c r="K25" s="213"/>
      <c r="L25" s="213"/>
      <c r="M25" s="213"/>
      <c r="N25" s="213"/>
      <c r="O25" s="213"/>
      <c r="P25" s="213"/>
      <c r="Q25" s="213"/>
      <c r="R25" s="213"/>
      <c r="S25" s="213"/>
      <c r="T25" s="213"/>
      <c r="U25" s="213"/>
      <c r="V25" s="213"/>
      <c r="W25" s="213"/>
      <c r="X25" s="213"/>
      <c r="Y25" s="108"/>
      <c r="Z25" s="108"/>
      <c r="AA25" s="108"/>
      <c r="AB25" s="108"/>
      <c r="AC25" s="108"/>
      <c r="AD25" s="105"/>
      <c r="AE25" s="106"/>
    </row>
    <row r="26" spans="2:31" ht="12.75" customHeight="1" x14ac:dyDescent="0.35">
      <c r="B26" s="104"/>
      <c r="C26" s="105"/>
      <c r="D26" s="108"/>
      <c r="E26" s="108"/>
      <c r="F26" s="108"/>
      <c r="G26" s="108"/>
      <c r="H26" s="108"/>
      <c r="I26" s="213"/>
      <c r="J26" s="213"/>
      <c r="K26" s="213"/>
      <c r="L26" s="213"/>
      <c r="M26" s="213"/>
      <c r="N26" s="213"/>
      <c r="O26" s="213"/>
      <c r="P26" s="213"/>
      <c r="Q26" s="213"/>
      <c r="R26" s="213"/>
      <c r="S26" s="213"/>
      <c r="T26" s="213"/>
      <c r="U26" s="213"/>
      <c r="V26" s="213"/>
      <c r="W26" s="213"/>
      <c r="X26" s="213"/>
      <c r="Y26" s="108"/>
      <c r="Z26" s="108"/>
      <c r="AA26" s="108"/>
      <c r="AB26" s="108"/>
      <c r="AC26" s="108"/>
      <c r="AD26" s="105"/>
      <c r="AE26" s="106"/>
    </row>
    <row r="27" spans="2:31" ht="12.75" customHeight="1" x14ac:dyDescent="0.35">
      <c r="B27" s="104"/>
      <c r="C27" s="105"/>
      <c r="D27" s="108"/>
      <c r="E27" s="108"/>
      <c r="F27" s="108"/>
      <c r="G27" s="108"/>
      <c r="H27" s="108"/>
      <c r="I27" s="213"/>
      <c r="J27" s="213"/>
      <c r="K27" s="213"/>
      <c r="L27" s="213"/>
      <c r="M27" s="213"/>
      <c r="N27" s="213"/>
      <c r="O27" s="213"/>
      <c r="P27" s="213"/>
      <c r="Q27" s="213"/>
      <c r="R27" s="213"/>
      <c r="S27" s="213"/>
      <c r="T27" s="213"/>
      <c r="U27" s="213"/>
      <c r="V27" s="213"/>
      <c r="W27" s="213"/>
      <c r="X27" s="213"/>
      <c r="Y27" s="108"/>
      <c r="Z27" s="108"/>
      <c r="AA27" s="108"/>
      <c r="AB27" s="108"/>
      <c r="AC27" s="108"/>
      <c r="AD27" s="105"/>
      <c r="AE27" s="106"/>
    </row>
    <row r="28" spans="2:31" ht="12.75" customHeight="1" x14ac:dyDescent="0.35">
      <c r="B28" s="104"/>
      <c r="C28" s="105"/>
      <c r="D28" s="108"/>
      <c r="E28" s="108"/>
      <c r="F28" s="108"/>
      <c r="G28" s="108"/>
      <c r="H28" s="108"/>
      <c r="I28" s="213"/>
      <c r="J28" s="213"/>
      <c r="K28" s="213"/>
      <c r="L28" s="213"/>
      <c r="M28" s="213"/>
      <c r="N28" s="213"/>
      <c r="O28" s="213"/>
      <c r="P28" s="213"/>
      <c r="Q28" s="213"/>
      <c r="R28" s="213"/>
      <c r="S28" s="213"/>
      <c r="T28" s="213"/>
      <c r="U28" s="213"/>
      <c r="V28" s="213"/>
      <c r="W28" s="213"/>
      <c r="X28" s="213"/>
      <c r="Y28" s="108"/>
      <c r="Z28" s="108"/>
      <c r="AA28" s="108"/>
      <c r="AB28" s="108"/>
      <c r="AC28" s="108"/>
      <c r="AD28" s="105"/>
      <c r="AE28" s="106"/>
    </row>
    <row r="29" spans="2:31" ht="12.75" customHeight="1" x14ac:dyDescent="0.35">
      <c r="B29" s="104"/>
      <c r="C29" s="105"/>
      <c r="D29" s="108"/>
      <c r="E29" s="108"/>
      <c r="F29" s="108"/>
      <c r="G29" s="108"/>
      <c r="H29" s="108"/>
      <c r="I29" s="213"/>
      <c r="J29" s="213"/>
      <c r="K29" s="213"/>
      <c r="L29" s="213"/>
      <c r="M29" s="213"/>
      <c r="N29" s="213"/>
      <c r="O29" s="213"/>
      <c r="P29" s="213"/>
      <c r="Q29" s="213"/>
      <c r="R29" s="213"/>
      <c r="S29" s="213"/>
      <c r="T29" s="213"/>
      <c r="U29" s="213"/>
      <c r="V29" s="213"/>
      <c r="W29" s="213"/>
      <c r="X29" s="213"/>
      <c r="Y29" s="108"/>
      <c r="Z29" s="108"/>
      <c r="AA29" s="108"/>
      <c r="AB29" s="108"/>
      <c r="AC29" s="108"/>
      <c r="AD29" s="105"/>
      <c r="AE29" s="106"/>
    </row>
    <row r="30" spans="2:31" ht="12.75" customHeight="1" x14ac:dyDescent="0.35">
      <c r="B30" s="104"/>
      <c r="C30" s="105"/>
      <c r="D30" s="108"/>
      <c r="E30" s="108"/>
      <c r="F30" s="108"/>
      <c r="G30" s="108"/>
      <c r="H30" s="108"/>
      <c r="I30" s="213"/>
      <c r="J30" s="213"/>
      <c r="K30" s="213"/>
      <c r="L30" s="213"/>
      <c r="M30" s="213"/>
      <c r="N30" s="213"/>
      <c r="O30" s="213"/>
      <c r="P30" s="213"/>
      <c r="Q30" s="213"/>
      <c r="R30" s="213"/>
      <c r="S30" s="213"/>
      <c r="T30" s="213"/>
      <c r="U30" s="213"/>
      <c r="V30" s="213"/>
      <c r="W30" s="213"/>
      <c r="X30" s="213"/>
      <c r="Y30" s="108"/>
      <c r="Z30" s="108"/>
      <c r="AA30" s="108"/>
      <c r="AB30" s="108"/>
      <c r="AC30" s="108"/>
      <c r="AD30" s="105"/>
      <c r="AE30" s="106"/>
    </row>
    <row r="31" spans="2:31" ht="12.75" customHeight="1" x14ac:dyDescent="0.35">
      <c r="B31" s="104"/>
      <c r="C31" s="105"/>
      <c r="D31" s="108"/>
      <c r="E31" s="108"/>
      <c r="F31" s="108"/>
      <c r="G31" s="108"/>
      <c r="H31" s="108"/>
      <c r="I31" s="213"/>
      <c r="J31" s="213"/>
      <c r="K31" s="213"/>
      <c r="L31" s="213"/>
      <c r="M31" s="213"/>
      <c r="N31" s="213"/>
      <c r="O31" s="213"/>
      <c r="P31" s="213"/>
      <c r="Q31" s="213"/>
      <c r="R31" s="213"/>
      <c r="S31" s="213"/>
      <c r="T31" s="213"/>
      <c r="U31" s="213"/>
      <c r="V31" s="213"/>
      <c r="W31" s="213"/>
      <c r="X31" s="213"/>
      <c r="Y31" s="108"/>
      <c r="Z31" s="108"/>
      <c r="AA31" s="108"/>
      <c r="AB31" s="108"/>
      <c r="AC31" s="108"/>
      <c r="AD31" s="105"/>
      <c r="AE31" s="106"/>
    </row>
    <row r="32" spans="2:31" ht="12.75" customHeight="1" x14ac:dyDescent="0.35">
      <c r="B32" s="104"/>
      <c r="C32" s="105"/>
      <c r="D32" s="108"/>
      <c r="E32" s="108"/>
      <c r="F32" s="108"/>
      <c r="G32" s="108"/>
      <c r="H32" s="108"/>
      <c r="I32" s="213"/>
      <c r="J32" s="213"/>
      <c r="K32" s="213"/>
      <c r="L32" s="213"/>
      <c r="M32" s="213"/>
      <c r="N32" s="213"/>
      <c r="O32" s="213"/>
      <c r="P32" s="213"/>
      <c r="Q32" s="213"/>
      <c r="R32" s="213"/>
      <c r="S32" s="213"/>
      <c r="T32" s="213"/>
      <c r="U32" s="213"/>
      <c r="V32" s="213"/>
      <c r="W32" s="213"/>
      <c r="X32" s="213"/>
      <c r="Y32" s="108"/>
      <c r="Z32" s="108"/>
      <c r="AA32" s="108"/>
      <c r="AB32" s="108"/>
      <c r="AC32" s="108"/>
      <c r="AD32" s="105"/>
      <c r="AE32" s="106"/>
    </row>
    <row r="33" spans="2:31" ht="12.75" customHeight="1" x14ac:dyDescent="0.35">
      <c r="B33" s="104"/>
      <c r="C33" s="105"/>
      <c r="D33" s="108"/>
      <c r="E33" s="108"/>
      <c r="F33" s="108"/>
      <c r="G33" s="108"/>
      <c r="H33" s="108"/>
      <c r="I33" s="213"/>
      <c r="J33" s="213"/>
      <c r="K33" s="213"/>
      <c r="L33" s="213"/>
      <c r="M33" s="213"/>
      <c r="N33" s="213"/>
      <c r="O33" s="213"/>
      <c r="P33" s="213"/>
      <c r="Q33" s="213"/>
      <c r="R33" s="213"/>
      <c r="S33" s="213"/>
      <c r="T33" s="213"/>
      <c r="U33" s="213"/>
      <c r="V33" s="213"/>
      <c r="W33" s="213"/>
      <c r="X33" s="213"/>
      <c r="Y33" s="108"/>
      <c r="Z33" s="108"/>
      <c r="AA33" s="108"/>
      <c r="AB33" s="108"/>
      <c r="AC33" s="108"/>
      <c r="AD33" s="105"/>
      <c r="AE33" s="106"/>
    </row>
    <row r="34" spans="2:31" ht="12.75" customHeight="1" x14ac:dyDescent="0.35">
      <c r="B34" s="104"/>
      <c r="C34" s="105"/>
      <c r="D34" s="108"/>
      <c r="E34" s="108"/>
      <c r="F34" s="108"/>
      <c r="G34" s="108"/>
      <c r="H34" s="108"/>
      <c r="I34" s="213"/>
      <c r="J34" s="213"/>
      <c r="K34" s="213"/>
      <c r="L34" s="213"/>
      <c r="M34" s="213"/>
      <c r="N34" s="213"/>
      <c r="O34" s="213"/>
      <c r="P34" s="213"/>
      <c r="Q34" s="213"/>
      <c r="R34" s="213"/>
      <c r="S34" s="213"/>
      <c r="T34" s="213"/>
      <c r="U34" s="213"/>
      <c r="V34" s="213"/>
      <c r="W34" s="213"/>
      <c r="X34" s="213"/>
      <c r="Y34" s="108"/>
      <c r="Z34" s="108"/>
      <c r="AA34" s="108"/>
      <c r="AB34" s="108"/>
      <c r="AC34" s="108"/>
      <c r="AD34" s="105"/>
      <c r="AE34" s="106"/>
    </row>
    <row r="35" spans="2:31" ht="12.75" customHeight="1" x14ac:dyDescent="0.35">
      <c r="B35" s="104"/>
      <c r="C35" s="105"/>
      <c r="D35" s="108"/>
      <c r="E35" s="108"/>
      <c r="F35" s="108"/>
      <c r="G35" s="108"/>
      <c r="H35" s="108"/>
      <c r="I35" s="213"/>
      <c r="J35" s="213"/>
      <c r="K35" s="213"/>
      <c r="L35" s="213"/>
      <c r="M35" s="213"/>
      <c r="N35" s="213"/>
      <c r="O35" s="213"/>
      <c r="P35" s="213"/>
      <c r="Q35" s="213"/>
      <c r="R35" s="213"/>
      <c r="S35" s="213"/>
      <c r="T35" s="213"/>
      <c r="U35" s="213"/>
      <c r="V35" s="213"/>
      <c r="W35" s="213"/>
      <c r="X35" s="213"/>
      <c r="Y35" s="108"/>
      <c r="Z35" s="108"/>
      <c r="AA35" s="108"/>
      <c r="AB35" s="108"/>
      <c r="AC35" s="108"/>
      <c r="AD35" s="105"/>
      <c r="AE35" s="106"/>
    </row>
    <row r="36" spans="2:31" ht="12.75" customHeight="1" x14ac:dyDescent="0.35">
      <c r="B36" s="104"/>
      <c r="C36" s="105"/>
      <c r="D36" s="108"/>
      <c r="E36" s="108"/>
      <c r="F36" s="108"/>
      <c r="G36" s="108"/>
      <c r="H36" s="108"/>
      <c r="I36" s="213"/>
      <c r="J36" s="213"/>
      <c r="K36" s="213"/>
      <c r="L36" s="213"/>
      <c r="M36" s="213"/>
      <c r="N36" s="213"/>
      <c r="O36" s="213"/>
      <c r="P36" s="213"/>
      <c r="Q36" s="213"/>
      <c r="R36" s="213"/>
      <c r="S36" s="213"/>
      <c r="T36" s="213"/>
      <c r="U36" s="213"/>
      <c r="V36" s="213"/>
      <c r="W36" s="213"/>
      <c r="X36" s="213"/>
      <c r="Y36" s="108"/>
      <c r="Z36" s="108"/>
      <c r="AA36" s="108"/>
      <c r="AB36" s="108"/>
      <c r="AC36" s="108"/>
      <c r="AD36" s="105"/>
      <c r="AE36" s="106"/>
    </row>
    <row r="37" spans="2:31" ht="12.75" customHeight="1" x14ac:dyDescent="0.35">
      <c r="B37" s="104"/>
      <c r="C37" s="105"/>
      <c r="D37" s="108"/>
      <c r="E37" s="108"/>
      <c r="F37" s="108"/>
      <c r="G37" s="108"/>
      <c r="H37" s="108"/>
      <c r="I37" s="213"/>
      <c r="J37" s="213"/>
      <c r="K37" s="213"/>
      <c r="L37" s="213"/>
      <c r="M37" s="213"/>
      <c r="N37" s="213"/>
      <c r="O37" s="213"/>
      <c r="P37" s="213"/>
      <c r="Q37" s="213"/>
      <c r="R37" s="213"/>
      <c r="S37" s="213"/>
      <c r="T37" s="213"/>
      <c r="U37" s="213"/>
      <c r="V37" s="213"/>
      <c r="W37" s="213"/>
      <c r="X37" s="213"/>
      <c r="Y37" s="108"/>
      <c r="Z37" s="108"/>
      <c r="AA37" s="108"/>
      <c r="AB37" s="108"/>
      <c r="AC37" s="108"/>
      <c r="AD37" s="105"/>
      <c r="AE37" s="106"/>
    </row>
    <row r="38" spans="2:31" ht="12.75" customHeight="1" x14ac:dyDescent="0.35">
      <c r="B38" s="104"/>
      <c r="C38" s="105"/>
      <c r="D38" s="108"/>
      <c r="E38" s="108"/>
      <c r="F38" s="108"/>
      <c r="G38" s="108"/>
      <c r="H38" s="108"/>
      <c r="I38" s="213"/>
      <c r="J38" s="213"/>
      <c r="K38" s="213"/>
      <c r="L38" s="213"/>
      <c r="M38" s="213"/>
      <c r="N38" s="213"/>
      <c r="O38" s="213"/>
      <c r="P38" s="213"/>
      <c r="Q38" s="213"/>
      <c r="R38" s="213"/>
      <c r="S38" s="213"/>
      <c r="T38" s="213"/>
      <c r="U38" s="213"/>
      <c r="V38" s="213"/>
      <c r="W38" s="213"/>
      <c r="X38" s="213"/>
      <c r="Y38" s="108"/>
      <c r="Z38" s="108"/>
      <c r="AA38" s="108"/>
      <c r="AB38" s="108"/>
      <c r="AC38" s="108"/>
      <c r="AD38" s="105"/>
      <c r="AE38" s="106"/>
    </row>
    <row r="39" spans="2:31" ht="12.75" customHeight="1" x14ac:dyDescent="0.35">
      <c r="B39" s="104"/>
      <c r="C39" s="105"/>
      <c r="D39" s="108"/>
      <c r="E39" s="108"/>
      <c r="F39" s="108"/>
      <c r="G39" s="108"/>
      <c r="H39" s="108"/>
      <c r="I39" s="213"/>
      <c r="J39" s="213"/>
      <c r="K39" s="213"/>
      <c r="L39" s="213"/>
      <c r="M39" s="213"/>
      <c r="N39" s="213"/>
      <c r="O39" s="213"/>
      <c r="P39" s="213"/>
      <c r="Q39" s="213"/>
      <c r="R39" s="213"/>
      <c r="S39" s="213"/>
      <c r="T39" s="213"/>
      <c r="U39" s="213"/>
      <c r="V39" s="213"/>
      <c r="W39" s="213"/>
      <c r="X39" s="213"/>
      <c r="Y39" s="108"/>
      <c r="Z39" s="108"/>
      <c r="AA39" s="108"/>
      <c r="AB39" s="108"/>
      <c r="AC39" s="108"/>
      <c r="AD39" s="105"/>
      <c r="AE39" s="106"/>
    </row>
    <row r="40" spans="2:31" ht="12.75" customHeight="1" x14ac:dyDescent="0.35">
      <c r="B40" s="104"/>
      <c r="C40" s="105"/>
      <c r="D40" s="108"/>
      <c r="E40" s="108"/>
      <c r="F40" s="108"/>
      <c r="G40" s="108"/>
      <c r="H40" s="108"/>
      <c r="I40" s="213"/>
      <c r="J40" s="213"/>
      <c r="K40" s="213"/>
      <c r="L40" s="213"/>
      <c r="M40" s="213"/>
      <c r="N40" s="213"/>
      <c r="O40" s="213"/>
      <c r="P40" s="213"/>
      <c r="Q40" s="213"/>
      <c r="R40" s="213"/>
      <c r="S40" s="213"/>
      <c r="T40" s="213"/>
      <c r="U40" s="213"/>
      <c r="V40" s="213"/>
      <c r="W40" s="213"/>
      <c r="X40" s="213"/>
      <c r="Y40" s="108"/>
      <c r="Z40" s="108"/>
      <c r="AA40" s="108"/>
      <c r="AB40" s="108"/>
      <c r="AC40" s="108"/>
      <c r="AD40" s="105"/>
      <c r="AE40" s="106"/>
    </row>
    <row r="41" spans="2:31" ht="12.75" customHeight="1" x14ac:dyDescent="0.35">
      <c r="B41" s="104"/>
      <c r="C41" s="105"/>
      <c r="D41" s="108"/>
      <c r="E41" s="108"/>
      <c r="F41" s="108"/>
      <c r="G41" s="108"/>
      <c r="H41" s="108"/>
      <c r="I41" s="213"/>
      <c r="J41" s="213"/>
      <c r="K41" s="213"/>
      <c r="L41" s="213"/>
      <c r="M41" s="213"/>
      <c r="N41" s="213"/>
      <c r="O41" s="213"/>
      <c r="P41" s="213"/>
      <c r="Q41" s="213"/>
      <c r="R41" s="213"/>
      <c r="S41" s="213"/>
      <c r="T41" s="213"/>
      <c r="U41" s="213"/>
      <c r="V41" s="213"/>
      <c r="W41" s="213"/>
      <c r="X41" s="213"/>
      <c r="Y41" s="108"/>
      <c r="Z41" s="108"/>
      <c r="AA41" s="108"/>
      <c r="AB41" s="108"/>
      <c r="AC41" s="108"/>
      <c r="AD41" s="105"/>
      <c r="AE41" s="106"/>
    </row>
    <row r="42" spans="2:31" ht="12.75" customHeight="1" x14ac:dyDescent="0.35">
      <c r="B42" s="104"/>
      <c r="C42" s="105"/>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08"/>
      <c r="AB42" s="108"/>
      <c r="AC42" s="108"/>
      <c r="AD42" s="105"/>
      <c r="AE42" s="106"/>
    </row>
    <row r="43" spans="2:31" x14ac:dyDescent="0.35">
      <c r="B43" s="104"/>
      <c r="C43" s="105"/>
      <c r="D43" s="105"/>
      <c r="E43" s="105"/>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6"/>
    </row>
    <row r="44" spans="2:31" ht="9.9499999999999993" customHeight="1" thickBot="1" x14ac:dyDescent="0.4">
      <c r="B44" s="109"/>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c r="AA44" s="110"/>
      <c r="AB44" s="110"/>
      <c r="AC44" s="110"/>
      <c r="AD44" s="110"/>
      <c r="AE44" s="111"/>
    </row>
    <row r="45" spans="2:31" x14ac:dyDescent="0.35"/>
  </sheetData>
  <sheetProtection algorithmName="SHA-512" hashValue="XUqVoEqccMJjoIffV+4BlUMsJ7cEwTC/anU7ulaeihixxTNY3BzD2fOF1sG64tChCTuDkanDO/5P1dtTiBPs7A==" saltValue="YjKXXCCJ150oxCMbS5PcFw==" spinCount="100000" sheet="1" objects="1" scenarios="1" selectLockedCells="1"/>
  <mergeCells count="2">
    <mergeCell ref="D5:AC10"/>
    <mergeCell ref="I13:X4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E98F6-5CFC-4FD2-B4CC-8E25FF23392F}">
  <sheetPr codeName="Sheet2">
    <tabColor rgb="FF0A9E1C"/>
  </sheetPr>
  <dimension ref="A1:AP45"/>
  <sheetViews>
    <sheetView showGridLines="0" topLeftCell="A6" zoomScale="70" zoomScaleNormal="70" workbookViewId="0">
      <selection activeCell="T11" sqref="T11"/>
    </sheetView>
  </sheetViews>
  <sheetFormatPr defaultColWidth="0" defaultRowHeight="13.15" zeroHeight="1" x14ac:dyDescent="0.4"/>
  <cols>
    <col min="1" max="13" width="9.1328125" style="171" customWidth="1"/>
    <col min="14" max="14" width="5.73046875" style="171" customWidth="1"/>
    <col min="15" max="15" width="10.59765625" style="171" customWidth="1"/>
    <col min="16" max="16" width="8.265625" style="171" customWidth="1"/>
    <col min="17" max="17" width="5.73046875" style="171" customWidth="1"/>
    <col min="18" max="19" width="8.265625" style="171" customWidth="1"/>
    <col min="20" max="20" width="5.73046875" style="171" customWidth="1"/>
    <col min="21" max="21" width="12.53125" style="171" customWidth="1"/>
    <col min="22" max="22" width="14.265625" style="171" customWidth="1"/>
    <col min="23" max="23" width="5.73046875" style="171" customWidth="1"/>
    <col min="24" max="25" width="8.265625" style="171" customWidth="1"/>
    <col min="26" max="26" width="5.73046875" style="171" customWidth="1"/>
    <col min="27" max="28" width="8.265625" style="171" customWidth="1"/>
    <col min="29" max="29" width="5.73046875" style="171" customWidth="1"/>
    <col min="30" max="31" width="8.265625" style="171" customWidth="1"/>
    <col min="32" max="32" width="5.73046875" style="171" customWidth="1"/>
    <col min="33" max="34" width="9.1328125" style="171" customWidth="1"/>
    <col min="35" max="35" width="31.1328125" style="171" hidden="1" customWidth="1"/>
    <col min="36" max="36" width="21.3984375" style="171" hidden="1" customWidth="1"/>
    <col min="37" max="40" width="24.3984375" style="171" hidden="1" customWidth="1"/>
    <col min="41" max="16384" width="9.1328125" style="171" hidden="1"/>
  </cols>
  <sheetData>
    <row r="1" spans="1:42" ht="13.5" hidden="1" thickBot="1" x14ac:dyDescent="0.45"/>
    <row r="2" spans="1:42" ht="13.5" hidden="1" thickBot="1" x14ac:dyDescent="0.45">
      <c r="AL2" s="172"/>
      <c r="AM2" s="172"/>
      <c r="AN2" s="172"/>
    </row>
    <row r="3" spans="1:42" ht="13.5" hidden="1" thickBot="1" x14ac:dyDescent="0.45">
      <c r="AL3" s="172"/>
      <c r="AM3" s="172"/>
      <c r="AN3" s="172"/>
    </row>
    <row r="4" spans="1:42" ht="13.5" hidden="1" thickBot="1" x14ac:dyDescent="0.45">
      <c r="AL4" s="172"/>
      <c r="AM4" s="172"/>
      <c r="AN4" s="172"/>
    </row>
    <row r="5" spans="1:42" ht="24" customHeight="1" x14ac:dyDescent="0.4">
      <c r="A5" s="243" t="s">
        <v>268</v>
      </c>
      <c r="B5" s="243"/>
      <c r="C5" s="243"/>
      <c r="D5" s="243"/>
      <c r="E5" s="243"/>
      <c r="F5" s="243"/>
      <c r="G5" s="243"/>
      <c r="H5" s="243"/>
      <c r="I5" s="243"/>
      <c r="J5" s="243"/>
      <c r="K5" s="243"/>
      <c r="M5" s="258" t="s">
        <v>269</v>
      </c>
      <c r="N5" s="259"/>
      <c r="O5" s="259"/>
      <c r="P5" s="259"/>
      <c r="Q5" s="259"/>
      <c r="R5" s="259"/>
      <c r="S5" s="259"/>
      <c r="T5" s="259"/>
      <c r="U5" s="259"/>
      <c r="V5" s="259"/>
      <c r="W5" s="259"/>
      <c r="X5" s="259"/>
      <c r="Y5" s="259"/>
      <c r="Z5" s="259"/>
      <c r="AA5" s="259"/>
      <c r="AB5" s="259"/>
      <c r="AC5" s="259"/>
      <c r="AD5" s="259"/>
      <c r="AE5" s="259"/>
      <c r="AF5" s="259"/>
      <c r="AG5" s="260"/>
      <c r="AI5" s="255"/>
      <c r="AJ5" s="256"/>
      <c r="AK5" s="257"/>
      <c r="AL5" s="172"/>
      <c r="AM5" s="172"/>
      <c r="AN5" s="172"/>
    </row>
    <row r="6" spans="1:42" ht="24" customHeight="1" thickBot="1" x14ac:dyDescent="0.45">
      <c r="A6" s="244"/>
      <c r="B6" s="244"/>
      <c r="C6" s="244"/>
      <c r="D6" s="244"/>
      <c r="E6" s="244"/>
      <c r="F6" s="244"/>
      <c r="G6" s="244"/>
      <c r="H6" s="244"/>
      <c r="I6" s="244"/>
      <c r="J6" s="244"/>
      <c r="K6" s="244"/>
      <c r="M6" s="261"/>
      <c r="N6" s="262"/>
      <c r="O6" s="262"/>
      <c r="P6" s="262"/>
      <c r="Q6" s="262"/>
      <c r="R6" s="262"/>
      <c r="S6" s="262"/>
      <c r="T6" s="262"/>
      <c r="U6" s="262"/>
      <c r="V6" s="262"/>
      <c r="W6" s="262"/>
      <c r="X6" s="262"/>
      <c r="Y6" s="262"/>
      <c r="Z6" s="262"/>
      <c r="AA6" s="262"/>
      <c r="AB6" s="262"/>
      <c r="AC6" s="262"/>
      <c r="AD6" s="262"/>
      <c r="AE6" s="262"/>
      <c r="AF6" s="262"/>
      <c r="AG6" s="263"/>
      <c r="AI6" s="173" t="s">
        <v>28</v>
      </c>
      <c r="AJ6" s="174" t="s">
        <v>29</v>
      </c>
      <c r="AK6" s="175" t="s">
        <v>30</v>
      </c>
      <c r="AL6" s="172"/>
      <c r="AM6" s="172"/>
      <c r="AN6" s="172"/>
    </row>
    <row r="7" spans="1:42" ht="24" customHeight="1" thickTop="1" thickBot="1" x14ac:dyDescent="0.45">
      <c r="A7" s="245" t="s">
        <v>267</v>
      </c>
      <c r="B7" s="245"/>
      <c r="C7" s="245"/>
      <c r="D7" s="245"/>
      <c r="E7" s="245"/>
      <c r="F7" s="245"/>
      <c r="G7" s="245"/>
      <c r="H7" s="245"/>
      <c r="I7" s="245"/>
      <c r="J7" s="245"/>
      <c r="K7" s="245"/>
      <c r="M7" s="206"/>
      <c r="N7" s="200"/>
      <c r="O7" s="200"/>
      <c r="P7" s="200"/>
      <c r="Q7" s="200"/>
      <c r="R7" s="200"/>
      <c r="S7" s="200"/>
      <c r="T7" s="200"/>
      <c r="U7" s="200"/>
      <c r="V7" s="200"/>
      <c r="W7" s="200"/>
      <c r="X7" s="200"/>
      <c r="Y7" s="200"/>
      <c r="Z7" s="200"/>
      <c r="AA7" s="200"/>
      <c r="AB7" s="200"/>
      <c r="AC7" s="200"/>
      <c r="AD7" s="200"/>
      <c r="AE7" s="200"/>
      <c r="AF7" s="200"/>
      <c r="AG7" s="208"/>
      <c r="AI7" s="176" t="str" cm="1">
        <f t="array" aca="1" ref="AI7:AI30" ca="1">INDIRECT(R29)</f>
        <v>MERCEDEZ GLE 53 Rear Axle</v>
      </c>
      <c r="AJ7" s="177" t="str" cm="1">
        <f t="array" aca="1" ref="AJ7:AJ12" ca="1">_xlfn.LET(
    _xlpm.peca,
    TRIM($U$29),
    _xlpm.range,
    _xlfn._xlws.FILTER(
          _xlfn.XLOOKUP(_xlpm.peca,_xlfn.ANCHORARRAY('Correlations Tables'!$CR$18),'Correlations Tables'!$CR$19:$ES$26),
          _xlfn.XLOOKUP(_xlpm.peca,_xlfn.ANCHORARRAY('Correlations Tables'!$CR$18),'Correlations Tables'!$CR$19:$ES$26)&lt;&gt;0
     ),
    _xlpm.procura_peca,
    IFERROR(_xlfn._xlws.FILTER(_xlpm.range, (_xlpm.range&lt;&gt;0)*(_xlpm.range&lt;&gt;"listagem_pecas")), "Erro"),
    _xlpm.procura_peca
)</f>
        <v>A</v>
      </c>
      <c r="AK7" s="178" t="str" cm="1">
        <f t="array" aca="1" ref="AK7" ca="1">_xlfn.LET(
    _xlpm.peca,
    $U$29,
    _xlpm.range,
    _xlfn._xlws.FILTER(
          _xlfn.XLOOKUP(_xlpm.peca,_xlfn.ANCHORARRAY('Correlations Tables'!$CR$6),'Correlations Tables'!$CR$7:$ES$11),
          _xlfn.XLOOKUP(_xlpm.peca,_xlfn.ANCHORARRAY('Correlations Tables'!$CR$6),'Correlations Tables'!$CR$7:$ES$11)&lt;&gt;0
     ),
    _xlpm.procura_peca,
    IFERROR(_xlfn._xlws.FILTER(_xlpm.range, (_xlpm.range&lt;&gt;0)*(_xlpm.range&lt;&gt;"listagem_pecas")), "Erro"),
    _xlpm.procura_peca
)</f>
        <v>LINE 1</v>
      </c>
      <c r="AL7" s="172"/>
      <c r="AM7" s="172"/>
      <c r="AN7" s="172"/>
    </row>
    <row r="8" spans="1:42" ht="12.6" customHeight="1" x14ac:dyDescent="0.4">
      <c r="A8" s="245"/>
      <c r="B8" s="245"/>
      <c r="C8" s="245"/>
      <c r="D8" s="245"/>
      <c r="E8" s="245"/>
      <c r="F8" s="245"/>
      <c r="G8" s="245"/>
      <c r="H8" s="245"/>
      <c r="I8" s="245"/>
      <c r="J8" s="245"/>
      <c r="K8" s="245"/>
      <c r="M8" s="206"/>
      <c r="N8" s="267" t="s">
        <v>481</v>
      </c>
      <c r="O8" s="230"/>
      <c r="P8" s="230"/>
      <c r="Q8" s="230"/>
      <c r="R8" s="230"/>
      <c r="S8" s="230"/>
      <c r="T8" s="268"/>
      <c r="U8" s="200"/>
      <c r="V8" s="200"/>
      <c r="W8" s="200"/>
      <c r="X8" s="200"/>
      <c r="Y8" s="200"/>
      <c r="Z8" s="221" t="str">
        <f ca="1">IF(AND(T15=1,V26=1,Y26=1,AE26=1),"OK 👍","NOK 👎")</f>
        <v>OK 👍</v>
      </c>
      <c r="AA8" s="222"/>
      <c r="AB8" s="222"/>
      <c r="AC8" s="222"/>
      <c r="AD8" s="222"/>
      <c r="AE8" s="223"/>
      <c r="AF8" s="200"/>
      <c r="AG8" s="208"/>
      <c r="AI8" s="180" t="str">
        <f ca="1"/>
        <v>MERCEDEZ GLE 580 Rear Axle</v>
      </c>
      <c r="AJ8" s="181" t="str">
        <f ca="1"/>
        <v>B</v>
      </c>
      <c r="AK8" s="182"/>
      <c r="AL8" s="172"/>
      <c r="AM8" s="172"/>
      <c r="AN8" s="172"/>
    </row>
    <row r="9" spans="1:42" ht="12.6" customHeight="1" thickBot="1" x14ac:dyDescent="0.45">
      <c r="A9" s="245"/>
      <c r="B9" s="245"/>
      <c r="C9" s="245"/>
      <c r="D9" s="245"/>
      <c r="E9" s="245"/>
      <c r="F9" s="245"/>
      <c r="G9" s="245"/>
      <c r="H9" s="245"/>
      <c r="I9" s="245"/>
      <c r="J9" s="245"/>
      <c r="K9" s="245"/>
      <c r="M9" s="206"/>
      <c r="N9" s="269"/>
      <c r="O9" s="231"/>
      <c r="P9" s="231"/>
      <c r="Q9" s="231"/>
      <c r="R9" s="231"/>
      <c r="S9" s="231"/>
      <c r="T9" s="270"/>
      <c r="U9" s="200"/>
      <c r="V9" s="200"/>
      <c r="W9" s="200"/>
      <c r="X9" s="200"/>
      <c r="Y9" s="200"/>
      <c r="Z9" s="224"/>
      <c r="AA9" s="225"/>
      <c r="AB9" s="225"/>
      <c r="AC9" s="225"/>
      <c r="AD9" s="225"/>
      <c r="AE9" s="226"/>
      <c r="AF9" s="200"/>
      <c r="AG9" s="208"/>
      <c r="AI9" s="180" t="str">
        <f ca="1"/>
        <v>MERCEDEZ LE 300 Coupé Rear Axle</v>
      </c>
      <c r="AJ9" s="181" t="str">
        <f ca="1"/>
        <v>C</v>
      </c>
      <c r="AK9" s="182"/>
      <c r="AL9" s="172"/>
      <c r="AM9" s="172"/>
      <c r="AN9" s="172"/>
    </row>
    <row r="10" spans="1:42" ht="15" customHeight="1" thickTop="1" x14ac:dyDescent="0.4">
      <c r="A10" s="245"/>
      <c r="B10" s="245"/>
      <c r="C10" s="245"/>
      <c r="D10" s="245"/>
      <c r="E10" s="245"/>
      <c r="F10" s="245"/>
      <c r="G10" s="245"/>
      <c r="H10" s="245"/>
      <c r="I10" s="245"/>
      <c r="J10" s="245"/>
      <c r="K10" s="245"/>
      <c r="M10" s="206"/>
      <c r="N10" s="184"/>
      <c r="O10" s="200"/>
      <c r="P10" s="200"/>
      <c r="Q10" s="200"/>
      <c r="R10" s="200"/>
      <c r="S10" s="200"/>
      <c r="T10" s="185"/>
      <c r="U10" s="200"/>
      <c r="V10" s="200"/>
      <c r="W10" s="200"/>
      <c r="X10" s="200"/>
      <c r="Y10" s="200"/>
      <c r="Z10" s="224"/>
      <c r="AA10" s="225"/>
      <c r="AB10" s="225"/>
      <c r="AC10" s="225"/>
      <c r="AD10" s="225"/>
      <c r="AE10" s="226"/>
      <c r="AF10" s="201"/>
      <c r="AG10" s="208"/>
      <c r="AI10" s="180" t="str">
        <f ca="1"/>
        <v>MERCEDEZ GLE 53 Front Axle</v>
      </c>
      <c r="AJ10" s="181" t="str">
        <f ca="1"/>
        <v>D</v>
      </c>
      <c r="AK10" s="182"/>
      <c r="AL10" s="172"/>
      <c r="AM10" s="172"/>
      <c r="AN10" s="172"/>
    </row>
    <row r="11" spans="1:42" ht="15" customHeight="1" x14ac:dyDescent="0.4">
      <c r="M11" s="206"/>
      <c r="N11" s="186"/>
      <c r="O11" s="214" t="s">
        <v>477</v>
      </c>
      <c r="P11" s="215"/>
      <c r="Q11" s="264">
        <v>46027</v>
      </c>
      <c r="R11" s="265"/>
      <c r="S11" s="266"/>
      <c r="T11" s="185"/>
      <c r="U11" s="200"/>
      <c r="V11" s="200"/>
      <c r="W11" s="200"/>
      <c r="X11" s="200"/>
      <c r="Y11" s="200"/>
      <c r="Z11" s="224"/>
      <c r="AA11" s="225"/>
      <c r="AB11" s="225"/>
      <c r="AC11" s="225"/>
      <c r="AD11" s="225"/>
      <c r="AE11" s="226"/>
      <c r="AF11" s="201"/>
      <c r="AG11" s="208"/>
      <c r="AI11" s="180" t="str">
        <f ca="1"/>
        <v>MERCEDEZ GLE 580 Front Axle</v>
      </c>
      <c r="AJ11" s="181" t="str">
        <f ca="1"/>
        <v>E</v>
      </c>
      <c r="AK11" s="182"/>
      <c r="AL11" s="172"/>
      <c r="AM11" s="172"/>
      <c r="AN11" s="172"/>
    </row>
    <row r="12" spans="1:42" ht="7.5" customHeight="1" x14ac:dyDescent="0.4">
      <c r="A12" s="246" t="s">
        <v>542</v>
      </c>
      <c r="B12" s="247"/>
      <c r="C12" s="247"/>
      <c r="D12" s="247"/>
      <c r="E12" s="247"/>
      <c r="F12" s="247"/>
      <c r="G12" s="247"/>
      <c r="H12" s="247"/>
      <c r="I12" s="247"/>
      <c r="J12" s="247"/>
      <c r="K12" s="248"/>
      <c r="M12" s="206"/>
      <c r="N12" s="186"/>
      <c r="O12" s="200"/>
      <c r="P12" s="200"/>
      <c r="Q12" s="200"/>
      <c r="R12" s="200"/>
      <c r="S12" s="200"/>
      <c r="T12" s="185"/>
      <c r="U12" s="200"/>
      <c r="V12" s="200"/>
      <c r="W12" s="181"/>
      <c r="X12" s="200"/>
      <c r="Y12" s="200"/>
      <c r="Z12" s="224"/>
      <c r="AA12" s="225"/>
      <c r="AB12" s="225"/>
      <c r="AC12" s="225"/>
      <c r="AD12" s="225"/>
      <c r="AE12" s="226"/>
      <c r="AF12" s="201"/>
      <c r="AG12" s="208"/>
      <c r="AI12" s="180" t="str">
        <f ca="1"/>
        <v>MERCEDEZ LE 300 Coupé Front Axle</v>
      </c>
      <c r="AJ12" s="181" t="str">
        <f ca="1"/>
        <v>F</v>
      </c>
      <c r="AK12" s="182"/>
      <c r="AL12" s="172"/>
      <c r="AM12" s="172"/>
      <c r="AN12" s="172"/>
    </row>
    <row r="13" spans="1:42" ht="15" customHeight="1" x14ac:dyDescent="0.4">
      <c r="A13" s="249"/>
      <c r="B13" s="250"/>
      <c r="C13" s="250"/>
      <c r="D13" s="250"/>
      <c r="E13" s="250"/>
      <c r="F13" s="250"/>
      <c r="G13" s="250"/>
      <c r="H13" s="250"/>
      <c r="I13" s="250"/>
      <c r="J13" s="250"/>
      <c r="K13" s="251"/>
      <c r="M13" s="206"/>
      <c r="N13" s="186"/>
      <c r="O13" s="214" t="s">
        <v>478</v>
      </c>
      <c r="P13" s="215"/>
      <c r="Q13" s="264" t="s">
        <v>473</v>
      </c>
      <c r="R13" s="265"/>
      <c r="S13" s="266"/>
      <c r="T13" s="185"/>
      <c r="U13" s="200"/>
      <c r="V13" s="200"/>
      <c r="W13" s="181"/>
      <c r="X13" s="200"/>
      <c r="Y13" s="200"/>
      <c r="Z13" s="224"/>
      <c r="AA13" s="225"/>
      <c r="AB13" s="225"/>
      <c r="AC13" s="225"/>
      <c r="AD13" s="225"/>
      <c r="AE13" s="226"/>
      <c r="AF13" s="201"/>
      <c r="AG13" s="208"/>
      <c r="AI13" s="180" t="str">
        <f ca="1"/>
        <v>MERCEDEZ GLE 53 Rear Bumper</v>
      </c>
      <c r="AJ13" s="181"/>
      <c r="AK13" s="182"/>
      <c r="AL13" s="172"/>
      <c r="AM13" s="172"/>
      <c r="AN13" s="172"/>
    </row>
    <row r="14" spans="1:42" ht="8.1" customHeight="1" x14ac:dyDescent="0.4">
      <c r="A14" s="249"/>
      <c r="B14" s="250"/>
      <c r="C14" s="250"/>
      <c r="D14" s="250"/>
      <c r="E14" s="250"/>
      <c r="F14" s="250"/>
      <c r="G14" s="250"/>
      <c r="H14" s="250"/>
      <c r="I14" s="250"/>
      <c r="J14" s="250"/>
      <c r="K14" s="251"/>
      <c r="M14" s="206"/>
      <c r="N14" s="186"/>
      <c r="O14" s="200"/>
      <c r="P14" s="200"/>
      <c r="Q14" s="200"/>
      <c r="R14" s="200"/>
      <c r="S14" s="200"/>
      <c r="T14" s="185"/>
      <c r="U14" s="200"/>
      <c r="V14" s="200"/>
      <c r="W14" s="181"/>
      <c r="X14" s="200"/>
      <c r="Y14" s="200"/>
      <c r="Z14" s="224"/>
      <c r="AA14" s="225"/>
      <c r="AB14" s="225"/>
      <c r="AC14" s="225"/>
      <c r="AD14" s="225"/>
      <c r="AE14" s="226"/>
      <c r="AF14" s="201"/>
      <c r="AG14" s="208"/>
      <c r="AI14" s="180" t="str">
        <f ca="1"/>
        <v>MERCEDEZ GLE 580 Rear Bumper</v>
      </c>
      <c r="AJ14" s="181"/>
      <c r="AK14" s="182"/>
      <c r="AL14" s="172"/>
      <c r="AM14" s="172"/>
      <c r="AN14" s="172"/>
    </row>
    <row r="15" spans="1:42" ht="15" customHeight="1" x14ac:dyDescent="0.4">
      <c r="A15" s="249"/>
      <c r="B15" s="250"/>
      <c r="C15" s="250"/>
      <c r="D15" s="250"/>
      <c r="E15" s="250"/>
      <c r="F15" s="250"/>
      <c r="G15" s="250"/>
      <c r="H15" s="250"/>
      <c r="I15" s="250"/>
      <c r="J15" s="250"/>
      <c r="K15" s="251"/>
      <c r="M15" s="206"/>
      <c r="N15" s="186"/>
      <c r="O15" s="214" t="s">
        <v>27</v>
      </c>
      <c r="P15" s="215"/>
      <c r="Q15" s="218" t="s">
        <v>139</v>
      </c>
      <c r="R15" s="219"/>
      <c r="S15" s="220"/>
      <c r="T15" s="187">
        <f ca="1">COUNTIF(INDIRECT(Q13),$Q$15)</f>
        <v>1</v>
      </c>
      <c r="U15" s="200"/>
      <c r="V15" s="200"/>
      <c r="W15" s="200"/>
      <c r="X15" s="200"/>
      <c r="Y15" s="200"/>
      <c r="Z15" s="224"/>
      <c r="AA15" s="225"/>
      <c r="AB15" s="225"/>
      <c r="AC15" s="225"/>
      <c r="AD15" s="225"/>
      <c r="AE15" s="226"/>
      <c r="AF15" s="200"/>
      <c r="AG15" s="208"/>
      <c r="AI15" s="180" t="str">
        <f ca="1"/>
        <v>MERCEDEZ LE 300 Coupé Rear Bumper</v>
      </c>
      <c r="AJ15" s="181"/>
      <c r="AK15" s="182"/>
      <c r="AL15" s="172"/>
      <c r="AM15" s="172"/>
      <c r="AN15" s="172"/>
      <c r="AP15" s="188"/>
    </row>
    <row r="16" spans="1:42" ht="8.1" customHeight="1" x14ac:dyDescent="0.4">
      <c r="A16" s="249"/>
      <c r="B16" s="250"/>
      <c r="C16" s="250"/>
      <c r="D16" s="250"/>
      <c r="E16" s="250"/>
      <c r="F16" s="250"/>
      <c r="G16" s="250"/>
      <c r="H16" s="250"/>
      <c r="I16" s="250"/>
      <c r="J16" s="250"/>
      <c r="K16" s="251"/>
      <c r="M16" s="206"/>
      <c r="N16" s="186"/>
      <c r="O16" s="200"/>
      <c r="P16" s="200"/>
      <c r="Q16" s="200"/>
      <c r="R16" s="200"/>
      <c r="S16" s="200"/>
      <c r="T16" s="185"/>
      <c r="U16" s="200"/>
      <c r="V16" s="200"/>
      <c r="W16" s="200"/>
      <c r="X16" s="200"/>
      <c r="Y16" s="200"/>
      <c r="Z16" s="224"/>
      <c r="AA16" s="225"/>
      <c r="AB16" s="225"/>
      <c r="AC16" s="225"/>
      <c r="AD16" s="225"/>
      <c r="AE16" s="226"/>
      <c r="AF16" s="200"/>
      <c r="AG16" s="208"/>
      <c r="AI16" s="180" t="str">
        <f ca="1"/>
        <v>MERCEDEZ GLE 53 Front Bumper</v>
      </c>
      <c r="AJ16" s="181"/>
      <c r="AK16" s="182"/>
      <c r="AL16" s="172"/>
      <c r="AM16" s="172"/>
      <c r="AN16" s="172"/>
      <c r="AP16" s="188"/>
    </row>
    <row r="17" spans="1:40" ht="15" customHeight="1" x14ac:dyDescent="0.4">
      <c r="A17" s="249"/>
      <c r="B17" s="250"/>
      <c r="C17" s="250"/>
      <c r="D17" s="250"/>
      <c r="E17" s="250"/>
      <c r="F17" s="250"/>
      <c r="G17" s="250"/>
      <c r="H17" s="250"/>
      <c r="I17" s="250"/>
      <c r="J17" s="250"/>
      <c r="K17" s="251"/>
      <c r="M17" s="206"/>
      <c r="N17" s="186"/>
      <c r="O17" s="214" t="s">
        <v>475</v>
      </c>
      <c r="P17" s="215"/>
      <c r="Q17" s="218" t="s">
        <v>541</v>
      </c>
      <c r="R17" s="219"/>
      <c r="S17" s="220"/>
      <c r="T17" s="185"/>
      <c r="U17" s="200"/>
      <c r="V17" s="200"/>
      <c r="W17" s="200"/>
      <c r="X17" s="200"/>
      <c r="Y17" s="200"/>
      <c r="Z17" s="224"/>
      <c r="AA17" s="225"/>
      <c r="AB17" s="225"/>
      <c r="AC17" s="225"/>
      <c r="AD17" s="225"/>
      <c r="AE17" s="226"/>
      <c r="AF17" s="200"/>
      <c r="AG17" s="208"/>
      <c r="AI17" s="180" t="str">
        <f ca="1"/>
        <v>MERCEDEZ GLE 580 Front Bumper</v>
      </c>
      <c r="AJ17" s="181"/>
      <c r="AK17" s="182"/>
      <c r="AL17" s="172"/>
      <c r="AM17" s="172"/>
      <c r="AN17" s="172"/>
    </row>
    <row r="18" spans="1:40" ht="8.1" customHeight="1" x14ac:dyDescent="0.4">
      <c r="A18" s="249"/>
      <c r="B18" s="250"/>
      <c r="C18" s="250"/>
      <c r="D18" s="250"/>
      <c r="E18" s="250"/>
      <c r="F18" s="250"/>
      <c r="G18" s="250"/>
      <c r="H18" s="250"/>
      <c r="I18" s="250"/>
      <c r="J18" s="250"/>
      <c r="K18" s="251"/>
      <c r="M18" s="206"/>
      <c r="N18" s="186"/>
      <c r="O18" s="202"/>
      <c r="P18" s="202"/>
      <c r="Q18" s="181"/>
      <c r="R18" s="181"/>
      <c r="S18" s="181"/>
      <c r="T18" s="185"/>
      <c r="U18" s="200"/>
      <c r="V18" s="200"/>
      <c r="W18" s="200"/>
      <c r="X18" s="200"/>
      <c r="Y18" s="200"/>
      <c r="Z18" s="224"/>
      <c r="AA18" s="225"/>
      <c r="AB18" s="225"/>
      <c r="AC18" s="225"/>
      <c r="AD18" s="225"/>
      <c r="AE18" s="226"/>
      <c r="AF18" s="200"/>
      <c r="AG18" s="208"/>
      <c r="AI18" s="180" t="str">
        <f ca="1"/>
        <v>MERCEDEZ LE 300 Coupé Front Bumper</v>
      </c>
      <c r="AJ18" s="181"/>
      <c r="AK18" s="182"/>
      <c r="AL18" s="172"/>
      <c r="AM18" s="172"/>
      <c r="AN18" s="172"/>
    </row>
    <row r="19" spans="1:40" ht="15" customHeight="1" x14ac:dyDescent="0.4">
      <c r="A19" s="249"/>
      <c r="B19" s="250"/>
      <c r="C19" s="250"/>
      <c r="D19" s="250"/>
      <c r="E19" s="250"/>
      <c r="F19" s="250"/>
      <c r="G19" s="250"/>
      <c r="H19" s="250"/>
      <c r="I19" s="250"/>
      <c r="J19" s="250"/>
      <c r="K19" s="251"/>
      <c r="M19" s="206"/>
      <c r="N19" s="186"/>
      <c r="O19" s="214" t="s">
        <v>474</v>
      </c>
      <c r="P19" s="215"/>
      <c r="Q19" s="240" t="str" cm="1">
        <f t="array" ref="Q19">IF(COUNTIF(shift_a,'Add Report'!$Q$15)&gt;0,"A",IF(COUNTIF(shift_b,'Add Report'!$Q$15)&gt;0,"B","C"))</f>
        <v>C</v>
      </c>
      <c r="R19" s="241"/>
      <c r="S19" s="242"/>
      <c r="T19" s="185"/>
      <c r="U19" s="200"/>
      <c r="V19" s="200"/>
      <c r="W19" s="200"/>
      <c r="X19" s="200"/>
      <c r="Y19" s="200"/>
      <c r="Z19" s="224"/>
      <c r="AA19" s="225"/>
      <c r="AB19" s="225"/>
      <c r="AC19" s="225"/>
      <c r="AD19" s="225"/>
      <c r="AE19" s="226"/>
      <c r="AF19" s="200"/>
      <c r="AG19" s="208"/>
      <c r="AI19" s="180" t="str">
        <f ca="1"/>
        <v>MERCEDEZ GLE 53 C-Pillar LH</v>
      </c>
      <c r="AJ19" s="181"/>
      <c r="AK19" s="182"/>
      <c r="AL19" s="172"/>
      <c r="AM19" s="172"/>
      <c r="AN19" s="172"/>
    </row>
    <row r="20" spans="1:40" ht="13.5" customHeight="1" thickBot="1" x14ac:dyDescent="0.45">
      <c r="A20" s="249"/>
      <c r="B20" s="250"/>
      <c r="C20" s="250"/>
      <c r="D20" s="250"/>
      <c r="E20" s="250"/>
      <c r="F20" s="250"/>
      <c r="G20" s="250"/>
      <c r="H20" s="250"/>
      <c r="I20" s="250"/>
      <c r="J20" s="250"/>
      <c r="K20" s="251"/>
      <c r="M20" s="206"/>
      <c r="N20" s="189"/>
      <c r="O20" s="190"/>
      <c r="P20" s="190"/>
      <c r="Q20" s="190"/>
      <c r="R20" s="190"/>
      <c r="S20" s="190"/>
      <c r="T20" s="191"/>
      <c r="U20" s="200"/>
      <c r="V20" s="200"/>
      <c r="W20" s="200"/>
      <c r="X20" s="200"/>
      <c r="Y20" s="200"/>
      <c r="Z20" s="227"/>
      <c r="AA20" s="228"/>
      <c r="AB20" s="228"/>
      <c r="AC20" s="228"/>
      <c r="AD20" s="228"/>
      <c r="AE20" s="229"/>
      <c r="AF20" s="200"/>
      <c r="AG20" s="208"/>
      <c r="AI20" s="180" t="str">
        <f ca="1"/>
        <v>MERCEDEZ GLE 53 C-Pillar RH</v>
      </c>
      <c r="AJ20" s="181"/>
      <c r="AK20" s="182"/>
      <c r="AL20" s="192"/>
      <c r="AM20" s="192"/>
      <c r="AN20" s="192"/>
    </row>
    <row r="21" spans="1:40" ht="12.75" customHeight="1" x14ac:dyDescent="0.4">
      <c r="A21" s="249"/>
      <c r="B21" s="250"/>
      <c r="C21" s="250"/>
      <c r="D21" s="250"/>
      <c r="E21" s="250"/>
      <c r="F21" s="250"/>
      <c r="G21" s="250"/>
      <c r="H21" s="250"/>
      <c r="I21" s="250"/>
      <c r="J21" s="250"/>
      <c r="K21" s="251"/>
      <c r="M21" s="206"/>
      <c r="N21" s="200"/>
      <c r="O21" s="200"/>
      <c r="P21" s="200"/>
      <c r="Q21" s="200"/>
      <c r="R21" s="200"/>
      <c r="S21" s="200"/>
      <c r="T21" s="200"/>
      <c r="U21" s="200"/>
      <c r="V21" s="200"/>
      <c r="W21" s="200"/>
      <c r="X21" s="200"/>
      <c r="Y21" s="200"/>
      <c r="Z21" s="200"/>
      <c r="AA21" s="200"/>
      <c r="AB21" s="200"/>
      <c r="AC21" s="200"/>
      <c r="AD21" s="200"/>
      <c r="AE21" s="200"/>
      <c r="AF21" s="200"/>
      <c r="AG21" s="208"/>
      <c r="AI21" s="180" t="str">
        <f ca="1"/>
        <v>MERCEDEZ GLE 580 C-Pillar LH</v>
      </c>
      <c r="AJ21" s="181"/>
      <c r="AK21" s="182"/>
      <c r="AL21" s="192"/>
      <c r="AM21" s="192"/>
      <c r="AN21" s="192"/>
    </row>
    <row r="22" spans="1:40" ht="15" customHeight="1" thickBot="1" x14ac:dyDescent="0.45">
      <c r="A22" s="249"/>
      <c r="B22" s="250"/>
      <c r="C22" s="250"/>
      <c r="D22" s="250"/>
      <c r="E22" s="250"/>
      <c r="F22" s="250"/>
      <c r="G22" s="250"/>
      <c r="H22" s="250"/>
      <c r="I22" s="250"/>
      <c r="J22" s="250"/>
      <c r="K22" s="251"/>
      <c r="M22" s="206"/>
      <c r="N22" s="200"/>
      <c r="O22" s="200"/>
      <c r="P22" s="200"/>
      <c r="Q22" s="200"/>
      <c r="R22" s="200"/>
      <c r="S22" s="200"/>
      <c r="T22" s="200"/>
      <c r="U22" s="200"/>
      <c r="V22" s="200"/>
      <c r="W22" s="200"/>
      <c r="X22" s="200"/>
      <c r="Y22" s="200"/>
      <c r="Z22" s="200"/>
      <c r="AA22" s="200"/>
      <c r="AB22" s="200"/>
      <c r="AC22" s="200"/>
      <c r="AD22" s="200"/>
      <c r="AE22" s="200"/>
      <c r="AF22" s="200"/>
      <c r="AG22" s="208"/>
      <c r="AI22" s="180" t="str">
        <f ca="1"/>
        <v>MERCEDEZ GLE 580 C-Pillar RH</v>
      </c>
      <c r="AJ22" s="181"/>
      <c r="AK22" s="182"/>
      <c r="AL22" s="192"/>
      <c r="AM22" s="192"/>
      <c r="AN22" s="192"/>
    </row>
    <row r="23" spans="1:40" ht="12.75" customHeight="1" x14ac:dyDescent="0.4">
      <c r="A23" s="249"/>
      <c r="B23" s="250"/>
      <c r="C23" s="250"/>
      <c r="D23" s="250"/>
      <c r="E23" s="250"/>
      <c r="F23" s="250"/>
      <c r="G23" s="250"/>
      <c r="H23" s="250"/>
      <c r="I23" s="250"/>
      <c r="J23" s="250"/>
      <c r="K23" s="251"/>
      <c r="M23" s="206"/>
      <c r="N23" s="193"/>
      <c r="O23" s="230" t="s">
        <v>482</v>
      </c>
      <c r="P23" s="230"/>
      <c r="Q23" s="230"/>
      <c r="R23" s="230"/>
      <c r="S23" s="230"/>
      <c r="T23" s="230"/>
      <c r="U23" s="230"/>
      <c r="V23" s="230"/>
      <c r="W23" s="230"/>
      <c r="X23" s="230"/>
      <c r="Y23" s="230"/>
      <c r="Z23" s="230"/>
      <c r="AA23" s="230"/>
      <c r="AB23" s="230"/>
      <c r="AC23" s="230"/>
      <c r="AD23" s="230"/>
      <c r="AE23" s="230"/>
      <c r="AF23" s="179"/>
      <c r="AG23" s="208"/>
      <c r="AI23" s="180" t="str">
        <f ca="1"/>
        <v>MERCEDEZ LE 300 Coupé C-Pillar LH</v>
      </c>
      <c r="AJ23" s="181"/>
      <c r="AK23" s="182"/>
      <c r="AL23" s="192"/>
      <c r="AM23" s="192"/>
      <c r="AN23" s="192"/>
    </row>
    <row r="24" spans="1:40" ht="12.75" customHeight="1" thickBot="1" x14ac:dyDescent="0.45">
      <c r="A24" s="252"/>
      <c r="B24" s="253"/>
      <c r="C24" s="253"/>
      <c r="D24" s="253"/>
      <c r="E24" s="253"/>
      <c r="F24" s="253"/>
      <c r="G24" s="253"/>
      <c r="H24" s="253"/>
      <c r="I24" s="253"/>
      <c r="J24" s="253"/>
      <c r="K24" s="254"/>
      <c r="M24" s="206"/>
      <c r="N24" s="194"/>
      <c r="O24" s="231"/>
      <c r="P24" s="231"/>
      <c r="Q24" s="231"/>
      <c r="R24" s="231"/>
      <c r="S24" s="231"/>
      <c r="T24" s="231"/>
      <c r="U24" s="231"/>
      <c r="V24" s="231"/>
      <c r="W24" s="231"/>
      <c r="X24" s="231"/>
      <c r="Y24" s="231"/>
      <c r="Z24" s="231"/>
      <c r="AA24" s="231"/>
      <c r="AB24" s="231"/>
      <c r="AC24" s="231"/>
      <c r="AD24" s="231"/>
      <c r="AE24" s="231"/>
      <c r="AF24" s="183"/>
      <c r="AG24" s="208"/>
      <c r="AI24" s="180" t="str">
        <f ca="1"/>
        <v>MERCEDEZ LE 300 Coupé C-Pillar RH</v>
      </c>
      <c r="AJ24" s="181"/>
      <c r="AK24" s="182"/>
      <c r="AL24" s="192"/>
      <c r="AM24" s="192"/>
      <c r="AN24" s="192"/>
    </row>
    <row r="25" spans="1:40" ht="15" customHeight="1" thickTop="1" x14ac:dyDescent="0.4">
      <c r="M25" s="206"/>
      <c r="N25" s="186"/>
      <c r="O25" s="200"/>
      <c r="P25" s="200"/>
      <c r="Q25" s="200"/>
      <c r="R25" s="200"/>
      <c r="S25" s="200"/>
      <c r="T25" s="200"/>
      <c r="U25" s="200"/>
      <c r="V25" s="200"/>
      <c r="W25" s="200"/>
      <c r="X25" s="200"/>
      <c r="Y25" s="200"/>
      <c r="Z25" s="200"/>
      <c r="AA25" s="200"/>
      <c r="AB25" s="200"/>
      <c r="AC25" s="200"/>
      <c r="AD25" s="200"/>
      <c r="AE25" s="200"/>
      <c r="AF25" s="185"/>
      <c r="AG25" s="208"/>
      <c r="AI25" s="180" t="str">
        <f ca="1"/>
        <v>MERCEDEZ GLE 53 IP LHD</v>
      </c>
      <c r="AJ25" s="181"/>
      <c r="AK25" s="182"/>
    </row>
    <row r="26" spans="1:40" ht="13.9" x14ac:dyDescent="0.4">
      <c r="M26" s="206"/>
      <c r="N26" s="186"/>
      <c r="O26" s="203"/>
      <c r="P26" s="204"/>
      <c r="Q26" s="200"/>
      <c r="R26" s="203"/>
      <c r="S26" s="204"/>
      <c r="T26" s="200"/>
      <c r="U26" s="203" t="s">
        <v>12</v>
      </c>
      <c r="V26" s="204">
        <f ca="1">COUNTIF(_xlfn.ANCHORARRAY(AI7),$U$29)</f>
        <v>1</v>
      </c>
      <c r="W26" s="200"/>
      <c r="X26" s="203" t="s">
        <v>12</v>
      </c>
      <c r="Y26" s="204">
        <f ca="1">COUNTIF(_xlfn.ANCHORARRAY($AJ$7),$X$29)</f>
        <v>1</v>
      </c>
      <c r="Z26" s="200"/>
      <c r="AA26" s="203"/>
      <c r="AB26" s="204"/>
      <c r="AC26" s="200"/>
      <c r="AD26" s="203" t="s">
        <v>12</v>
      </c>
      <c r="AE26" s="204">
        <f ca="1">COUNTIF(_xlfn.ANCHORARRAY(AK7),$AD$29)</f>
        <v>1</v>
      </c>
      <c r="AF26" s="185"/>
      <c r="AG26" s="208"/>
      <c r="AI26" s="180" t="str">
        <f ca="1"/>
        <v>MERCEDEZ GLE 53 IP RHD</v>
      </c>
      <c r="AJ26" s="181"/>
      <c r="AK26" s="182"/>
    </row>
    <row r="27" spans="1:40" ht="15" customHeight="1" x14ac:dyDescent="0.4">
      <c r="M27" s="206"/>
      <c r="N27" s="186"/>
      <c r="O27" s="234" t="s">
        <v>3</v>
      </c>
      <c r="P27" s="235"/>
      <c r="Q27" s="200"/>
      <c r="R27" s="234" t="s">
        <v>4</v>
      </c>
      <c r="S27" s="235"/>
      <c r="T27" s="200"/>
      <c r="U27" s="234" t="s">
        <v>5</v>
      </c>
      <c r="V27" s="235"/>
      <c r="W27" s="200"/>
      <c r="X27" s="234" t="s">
        <v>7</v>
      </c>
      <c r="Y27" s="235"/>
      <c r="Z27" s="200"/>
      <c r="AA27" s="234" t="s">
        <v>33</v>
      </c>
      <c r="AB27" s="235"/>
      <c r="AC27" s="200"/>
      <c r="AD27" s="234" t="s">
        <v>6</v>
      </c>
      <c r="AE27" s="235"/>
      <c r="AF27" s="195"/>
      <c r="AG27" s="208"/>
      <c r="AI27" s="180" t="str">
        <f ca="1"/>
        <v>MERCEDEZ GLE 580 IP LHD</v>
      </c>
      <c r="AJ27" s="181"/>
      <c r="AK27" s="182"/>
    </row>
    <row r="28" spans="1:40" ht="15" customHeight="1" x14ac:dyDescent="0.4">
      <c r="M28" s="206"/>
      <c r="N28" s="186"/>
      <c r="O28" s="236"/>
      <c r="P28" s="237"/>
      <c r="Q28" s="200"/>
      <c r="R28" s="236"/>
      <c r="S28" s="237"/>
      <c r="T28" s="200"/>
      <c r="U28" s="236"/>
      <c r="V28" s="237"/>
      <c r="W28" s="200"/>
      <c r="X28" s="236"/>
      <c r="Y28" s="237"/>
      <c r="Z28" s="200"/>
      <c r="AA28" s="236"/>
      <c r="AB28" s="237"/>
      <c r="AC28" s="200"/>
      <c r="AD28" s="236"/>
      <c r="AE28" s="237"/>
      <c r="AF28" s="195"/>
      <c r="AG28" s="208"/>
      <c r="AI28" s="180" t="str">
        <f ca="1"/>
        <v>MERCEDEZ GLE 580 IP RHD</v>
      </c>
      <c r="AJ28" s="181"/>
      <c r="AK28" s="182"/>
    </row>
    <row r="29" spans="1:40" ht="15.75" customHeight="1" x14ac:dyDescent="0.4">
      <c r="M29" s="206"/>
      <c r="N29" s="186"/>
      <c r="O29" s="238" t="s">
        <v>476</v>
      </c>
      <c r="P29" s="239"/>
      <c r="Q29" s="200"/>
      <c r="R29" s="232" t="s">
        <v>479</v>
      </c>
      <c r="S29" s="233"/>
      <c r="T29" s="200"/>
      <c r="U29" s="232" t="s">
        <v>512</v>
      </c>
      <c r="V29" s="233"/>
      <c r="W29" s="200"/>
      <c r="X29" s="232" t="s">
        <v>23</v>
      </c>
      <c r="Y29" s="233"/>
      <c r="Z29" s="200"/>
      <c r="AA29" s="216"/>
      <c r="AB29" s="217"/>
      <c r="AC29" s="200"/>
      <c r="AD29" s="232" t="s">
        <v>13</v>
      </c>
      <c r="AE29" s="233"/>
      <c r="AF29" s="195"/>
      <c r="AG29" s="208"/>
      <c r="AI29" s="180" t="str">
        <f ca="1"/>
        <v>MERCEDEZ LE 300 Coupé IP LHD</v>
      </c>
      <c r="AJ29" s="181"/>
      <c r="AK29" s="182"/>
    </row>
    <row r="30" spans="1:40" ht="13.5" thickBot="1" x14ac:dyDescent="0.45">
      <c r="M30" s="206"/>
      <c r="N30" s="189"/>
      <c r="O30" s="190"/>
      <c r="P30" s="190"/>
      <c r="Q30" s="190"/>
      <c r="R30" s="190"/>
      <c r="S30" s="190"/>
      <c r="T30" s="190"/>
      <c r="U30" s="190"/>
      <c r="V30" s="190"/>
      <c r="W30" s="190"/>
      <c r="X30" s="190"/>
      <c r="Y30" s="190"/>
      <c r="Z30" s="190"/>
      <c r="AA30" s="190"/>
      <c r="AB30" s="190"/>
      <c r="AC30" s="190"/>
      <c r="AD30" s="190"/>
      <c r="AE30" s="190"/>
      <c r="AF30" s="191"/>
      <c r="AG30" s="208"/>
      <c r="AI30" s="180" t="str">
        <f ca="1"/>
        <v>MERCEDEZ LE 300 Coupé IP RHD</v>
      </c>
      <c r="AJ30" s="181"/>
      <c r="AK30" s="182"/>
    </row>
    <row r="31" spans="1:40" x14ac:dyDescent="0.4">
      <c r="M31" s="206"/>
      <c r="N31" s="200"/>
      <c r="O31" s="200"/>
      <c r="P31" s="200"/>
      <c r="Q31" s="200"/>
      <c r="R31" s="200"/>
      <c r="S31" s="200"/>
      <c r="T31" s="200"/>
      <c r="U31" s="200"/>
      <c r="V31" s="200"/>
      <c r="W31" s="200"/>
      <c r="X31" s="200"/>
      <c r="Y31" s="200"/>
      <c r="Z31" s="200"/>
      <c r="AA31" s="200"/>
      <c r="AB31" s="200"/>
      <c r="AC31" s="200"/>
      <c r="AD31" s="200"/>
      <c r="AE31" s="200"/>
      <c r="AF31" s="200"/>
      <c r="AG31" s="208"/>
      <c r="AI31" s="180"/>
      <c r="AJ31" s="181"/>
      <c r="AK31" s="182"/>
    </row>
    <row r="32" spans="1:40" ht="12.75" customHeight="1" x14ac:dyDescent="0.4">
      <c r="M32" s="206"/>
      <c r="N32" s="200"/>
      <c r="O32" s="200"/>
      <c r="P32" s="200"/>
      <c r="Q32" s="200"/>
      <c r="R32" s="200"/>
      <c r="S32" s="200"/>
      <c r="T32" s="200"/>
      <c r="U32" s="200"/>
      <c r="V32" s="200"/>
      <c r="W32" s="200"/>
      <c r="X32" s="200"/>
      <c r="Y32" s="200"/>
      <c r="Z32" s="200"/>
      <c r="AA32" s="200"/>
      <c r="AB32" s="200"/>
      <c r="AC32" s="200"/>
      <c r="AD32" s="200"/>
      <c r="AE32" s="200"/>
      <c r="AF32" s="200"/>
      <c r="AG32" s="208"/>
      <c r="AI32" s="180"/>
      <c r="AJ32" s="181"/>
      <c r="AK32" s="182"/>
    </row>
    <row r="33" spans="7:37" ht="13.5" customHeight="1" x14ac:dyDescent="0.4">
      <c r="M33" s="206"/>
      <c r="N33" s="200"/>
      <c r="O33" s="200"/>
      <c r="P33" s="200"/>
      <c r="Q33" s="200"/>
      <c r="R33" s="200"/>
      <c r="S33" s="200"/>
      <c r="T33" s="200"/>
      <c r="U33" s="200"/>
      <c r="V33" s="200"/>
      <c r="W33" s="200"/>
      <c r="X33" s="200"/>
      <c r="Y33" s="200"/>
      <c r="Z33" s="200"/>
      <c r="AA33" s="200"/>
      <c r="AB33" s="200"/>
      <c r="AC33" s="200"/>
      <c r="AD33" s="200"/>
      <c r="AE33" s="200"/>
      <c r="AF33" s="200"/>
      <c r="AG33" s="208"/>
      <c r="AI33" s="180"/>
      <c r="AJ33" s="181"/>
      <c r="AK33" s="182"/>
    </row>
    <row r="34" spans="7:37" x14ac:dyDescent="0.4">
      <c r="M34" s="206"/>
      <c r="N34" s="200"/>
      <c r="O34" s="200"/>
      <c r="P34" s="200"/>
      <c r="Q34" s="200"/>
      <c r="R34" s="200"/>
      <c r="S34" s="200"/>
      <c r="T34" s="200"/>
      <c r="U34" s="200"/>
      <c r="V34" s="200"/>
      <c r="W34" s="200"/>
      <c r="X34" s="200"/>
      <c r="Y34" s="200"/>
      <c r="Z34" s="200"/>
      <c r="AA34" s="200"/>
      <c r="AB34" s="200"/>
      <c r="AC34" s="200"/>
      <c r="AD34" s="200"/>
      <c r="AE34" s="200"/>
      <c r="AF34" s="200"/>
      <c r="AG34" s="208"/>
      <c r="AI34" s="180"/>
      <c r="AJ34" s="181"/>
      <c r="AK34" s="182"/>
    </row>
    <row r="35" spans="7:37" ht="11.25" customHeight="1" x14ac:dyDescent="0.4">
      <c r="M35" s="206"/>
      <c r="N35" s="200"/>
      <c r="O35" s="200"/>
      <c r="P35" s="200"/>
      <c r="Q35" s="200"/>
      <c r="R35" s="200"/>
      <c r="S35" s="200"/>
      <c r="T35" s="200"/>
      <c r="U35" s="200"/>
      <c r="V35" s="200"/>
      <c r="W35" s="200"/>
      <c r="X35" s="200"/>
      <c r="Y35" s="200"/>
      <c r="Z35" s="200"/>
      <c r="AA35" s="200"/>
      <c r="AB35" s="200"/>
      <c r="AC35" s="200"/>
      <c r="AD35" s="200"/>
      <c r="AE35" s="200"/>
      <c r="AF35" s="200"/>
      <c r="AG35" s="208"/>
      <c r="AI35" s="180"/>
      <c r="AJ35" s="181"/>
      <c r="AK35" s="182"/>
    </row>
    <row r="36" spans="7:37" x14ac:dyDescent="0.4">
      <c r="M36" s="206"/>
      <c r="N36" s="200"/>
      <c r="O36" s="200"/>
      <c r="P36" s="200"/>
      <c r="Q36" s="200"/>
      <c r="R36" s="200"/>
      <c r="S36" s="200"/>
      <c r="T36" s="200"/>
      <c r="U36" s="200"/>
      <c r="V36" s="200"/>
      <c r="W36" s="200"/>
      <c r="X36" s="200"/>
      <c r="Y36" s="200"/>
      <c r="Z36" s="200"/>
      <c r="AA36" s="200"/>
      <c r="AB36" s="200"/>
      <c r="AC36" s="200"/>
      <c r="AD36" s="200"/>
      <c r="AE36" s="200"/>
      <c r="AF36" s="200"/>
      <c r="AG36" s="208"/>
      <c r="AI36" s="180"/>
      <c r="AJ36" s="181"/>
      <c r="AK36" s="182"/>
    </row>
    <row r="37" spans="7:37" x14ac:dyDescent="0.4">
      <c r="M37" s="206"/>
      <c r="N37" s="200"/>
      <c r="O37" s="200"/>
      <c r="P37" s="200"/>
      <c r="Q37" s="200"/>
      <c r="R37" s="200"/>
      <c r="S37" s="200"/>
      <c r="T37" s="200"/>
      <c r="U37" s="200"/>
      <c r="V37" s="200"/>
      <c r="W37" s="200"/>
      <c r="X37" s="200"/>
      <c r="Y37" s="200"/>
      <c r="Z37" s="200"/>
      <c r="AA37" s="200"/>
      <c r="AB37" s="200"/>
      <c r="AC37" s="200"/>
      <c r="AD37" s="200"/>
      <c r="AE37" s="200"/>
      <c r="AF37" s="200"/>
      <c r="AG37" s="208"/>
      <c r="AI37" s="196"/>
      <c r="AJ37" s="197"/>
      <c r="AK37" s="198"/>
    </row>
    <row r="38" spans="7:37" x14ac:dyDescent="0.4">
      <c r="M38" s="206"/>
      <c r="N38" s="200"/>
      <c r="O38" s="200"/>
      <c r="P38" s="200"/>
      <c r="Q38" s="200"/>
      <c r="R38" s="200"/>
      <c r="S38" s="200"/>
      <c r="T38" s="200"/>
      <c r="U38" s="200"/>
      <c r="V38" s="200"/>
      <c r="W38" s="200"/>
      <c r="X38" s="200"/>
      <c r="Y38" s="200"/>
      <c r="Z38" s="200"/>
      <c r="AA38" s="200"/>
      <c r="AB38" s="200"/>
      <c r="AC38" s="200"/>
      <c r="AD38" s="200"/>
      <c r="AE38" s="200"/>
      <c r="AF38" s="200"/>
      <c r="AG38" s="208"/>
    </row>
    <row r="39" spans="7:37" ht="13.5" thickBot="1" x14ac:dyDescent="0.45">
      <c r="M39" s="207"/>
      <c r="N39" s="205"/>
      <c r="O39" s="205"/>
      <c r="P39" s="205"/>
      <c r="Q39" s="205"/>
      <c r="R39" s="205"/>
      <c r="S39" s="205"/>
      <c r="T39" s="205"/>
      <c r="U39" s="205"/>
      <c r="V39" s="205"/>
      <c r="W39" s="205"/>
      <c r="X39" s="205"/>
      <c r="Y39" s="205"/>
      <c r="Z39" s="205"/>
      <c r="AA39" s="205"/>
      <c r="AB39" s="205"/>
      <c r="AC39" s="205"/>
      <c r="AD39" s="205"/>
      <c r="AE39" s="205"/>
      <c r="AF39" s="205"/>
      <c r="AG39" s="209"/>
    </row>
    <row r="40" spans="7:37" x14ac:dyDescent="0.4"/>
    <row r="41" spans="7:37" x14ac:dyDescent="0.4"/>
    <row r="45" spans="7:37" hidden="1" x14ac:dyDescent="0.4">
      <c r="G45" s="199"/>
      <c r="H45" s="199"/>
      <c r="I45" s="199"/>
      <c r="J45" s="199"/>
      <c r="K45" s="199"/>
    </row>
  </sheetData>
  <sheetProtection algorithmName="SHA-512" hashValue="eE3JDlr9+TRH1M2Op/GhDo8n75OUSVcW2Q/oJpZaCaXwmPgkJxpP58wrPgbb9FXiA+uuPYYTwiL1M2DpaYD/xQ==" saltValue="4DXInznOI5aWDV6F6UnyvQ==" spinCount="100000" sheet="1" objects="1" scenarios="1" selectLockedCells="1"/>
  <dataConsolidate/>
  <mergeCells count="30">
    <mergeCell ref="A5:K6"/>
    <mergeCell ref="A7:K10"/>
    <mergeCell ref="A12:K24"/>
    <mergeCell ref="AI5:AK5"/>
    <mergeCell ref="AD29:AE29"/>
    <mergeCell ref="M5:AG6"/>
    <mergeCell ref="AD27:AE28"/>
    <mergeCell ref="U29:V29"/>
    <mergeCell ref="O13:P13"/>
    <mergeCell ref="Q13:S13"/>
    <mergeCell ref="O17:P17"/>
    <mergeCell ref="N8:T9"/>
    <mergeCell ref="U27:V28"/>
    <mergeCell ref="O11:P11"/>
    <mergeCell ref="Q11:S11"/>
    <mergeCell ref="Q15:S15"/>
    <mergeCell ref="O15:P15"/>
    <mergeCell ref="AA29:AB29"/>
    <mergeCell ref="Q17:S17"/>
    <mergeCell ref="Z8:AE20"/>
    <mergeCell ref="O23:AE24"/>
    <mergeCell ref="X29:Y29"/>
    <mergeCell ref="R27:S28"/>
    <mergeCell ref="R29:S29"/>
    <mergeCell ref="O27:P28"/>
    <mergeCell ref="O29:P29"/>
    <mergeCell ref="X27:Y28"/>
    <mergeCell ref="AA27:AB28"/>
    <mergeCell ref="O19:P19"/>
    <mergeCell ref="Q19:S19"/>
  </mergeCells>
  <conditionalFormatting sqref="Z8:AE20">
    <cfRule type="expression" dxfId="2" priority="10">
      <formula>$Z$8="OK 👍"</formula>
    </cfRule>
    <cfRule type="expression" dxfId="1" priority="11">
      <formula>$Z$8="NOK 👎"</formula>
    </cfRule>
  </conditionalFormatting>
  <dataValidations xWindow="938" yWindow="436" count="10">
    <dataValidation type="list" allowBlank="1" showInputMessage="1" showErrorMessage="1" sqref="R29:S29" xr:uid="{EC4B0635-B08B-4966-B717-5A5D6E3CC5E3}">
      <formula1>"Mercedez,BMW"</formula1>
    </dataValidation>
    <dataValidation type="list" allowBlank="1" showInputMessage="1" showErrorMessage="1" sqref="Q15:S15" xr:uid="{57655307-BACD-4F62-80AF-B60843BB43C9}">
      <formula1>INDIRECT($Q$13)</formula1>
    </dataValidation>
    <dataValidation type="list" allowBlank="1" showInputMessage="1" showErrorMessage="1" sqref="Q18:S18" xr:uid="{C43E3B61-DFFC-4F96-A60C-BEB16E2836CF}">
      <formula1>"Manhã,Tarde,Noite"</formula1>
    </dataValidation>
    <dataValidation type="list" allowBlank="1" showInputMessage="1" showErrorMessage="1" sqref="Q13:S13" xr:uid="{6691C7ED-3C88-4BBD-8EF6-3DD84B1E41AB}">
      <formula1>"Team1,Team2"</formula1>
    </dataValidation>
    <dataValidation type="list" allowBlank="1" showInputMessage="1" showErrorMessage="1" sqref="U29" xr:uid="{76DF49BD-A1DF-4079-8F4A-88E62A574F50}">
      <formula1>_xlfn.ANCHORARRAY(AI7)</formula1>
    </dataValidation>
    <dataValidation type="list" allowBlank="1" showInputMessage="1" showErrorMessage="1" sqref="AD29" xr:uid="{F0493684-8BFB-4FEB-AB31-18E1E783F41C}">
      <formula1>_xlfn.ANCHORARRAY($AK$7)</formula1>
    </dataValidation>
    <dataValidation type="list" allowBlank="1" showInputMessage="1" showErrorMessage="1" sqref="X29" xr:uid="{11C58F71-A8EE-44DA-94B4-286862F18836}">
      <formula1>_xlfn.ANCHORARRAY($AJ$7)</formula1>
    </dataValidation>
    <dataValidation type="list" showInputMessage="1" showErrorMessage="1" sqref="AA29:AB29" xr:uid="{25A4285A-06D4-4746-8A26-2F0C7764B027}">
      <formula1>"X"</formula1>
    </dataValidation>
    <dataValidation type="date" allowBlank="1" showInputMessage="1" showErrorMessage="1" errorTitle="Formato ou Data errada!" error="Por favor selecione uma data do ano de 2026 e a escreva no formato dd/mm/aaa (ex.: 12/08/2026)" prompt="Data no formato dd/mm/aaaa (ex.: 12/02/2026)" sqref="Q11:S11" xr:uid="{4D90F0E8-5E73-410D-BAC7-992F36B2E255}">
      <formula1>46023</formula1>
      <formula2>46387</formula2>
    </dataValidation>
    <dataValidation type="list" allowBlank="1" showInputMessage="1" showErrorMessage="1" sqref="Q17:S17" xr:uid="{C6EB4994-FC88-4498-991B-0BDE55F2203B}">
      <formula1>"Morning,Afternoon,Evening"</formula1>
    </dataValidation>
  </dataValidations>
  <pageMargins left="0.7" right="0.7" top="0.75" bottom="0.75" header="0.3" footer="0.3"/>
  <pageSetup orientation="portrait" r:id="rId1"/>
  <headerFooter>
    <oddFooter>&amp;C_x000D_&amp;1#&amp;"Arial"&amp;8&amp;KA6A6A6 restricted</oddFooter>
  </headerFooter>
  <drawing r:id="rId2"/>
  <extLst>
    <ext xmlns:x14="http://schemas.microsoft.com/office/spreadsheetml/2009/9/main" uri="{78C0D931-6437-407d-A8EE-F0AAD7539E65}">
      <x14:conditionalFormattings>
        <x14:conditionalFormatting xmlns:xm="http://schemas.microsoft.com/office/excel/2006/main">
          <x14:cfRule type="iconSet" priority="16" id="{F94484E1-9A13-468D-8B03-90F2562AFC0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P26</xm:sqref>
        </x14:conditionalFormatting>
        <x14:conditionalFormatting xmlns:xm="http://schemas.microsoft.com/office/excel/2006/main">
          <x14:cfRule type="iconSet" priority="17" id="{756AB7C2-16B9-46B4-8EB0-E124F7B9A553}">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S26</xm:sqref>
        </x14:conditionalFormatting>
        <x14:conditionalFormatting xmlns:xm="http://schemas.microsoft.com/office/excel/2006/main">
          <x14:cfRule type="iconSet" priority="12" id="{CD6E8C88-F924-4259-B035-A443CF511F6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T15</xm:sqref>
        </x14:conditionalFormatting>
        <x14:conditionalFormatting xmlns:xm="http://schemas.microsoft.com/office/excel/2006/main">
          <x14:cfRule type="iconSet" priority="21" id="{9386245C-B779-407F-9305-80810FCAB625}">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V26</xm:sqref>
        </x14:conditionalFormatting>
        <x14:conditionalFormatting xmlns:xm="http://schemas.microsoft.com/office/excel/2006/main">
          <x14:cfRule type="iconSet" priority="20" id="{34E02A5E-1230-4252-9DA4-83A12255C9BA}">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Y26</xm:sqref>
        </x14:conditionalFormatting>
        <x14:conditionalFormatting xmlns:xm="http://schemas.microsoft.com/office/excel/2006/main">
          <x14:cfRule type="iconSet" priority="15" id="{62839E92-1769-47A4-818D-37F6C80E975E}">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AB26</xm:sqref>
        </x14:conditionalFormatting>
        <x14:conditionalFormatting xmlns:xm="http://schemas.microsoft.com/office/excel/2006/main">
          <x14:cfRule type="iconSet" priority="18" id="{4B6AC2E6-B6A5-4DBC-B8EA-BDEAE69B3F98}">
            <x14:iconSet iconSet="3Symbols" showValue="0" custom="1">
              <x14:cfvo type="percent">
                <xm:f>0</xm:f>
              </x14:cfvo>
              <x14:cfvo type="num">
                <xm:f>0</xm:f>
              </x14:cfvo>
              <x14:cfvo type="num" gte="0">
                <xm:f>0</xm:f>
              </x14:cfvo>
              <x14:cfIcon iconSet="3Symbols" iconId="0"/>
              <x14:cfIcon iconSet="3Symbols" iconId="0"/>
              <x14:cfIcon iconSet="3Symbols" iconId="2"/>
            </x14:iconSet>
          </x14:cfRule>
          <xm:sqref>AE26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296E9-E5E5-4750-A7C1-5729876E125C}">
  <sheetPr codeName="Sheet1">
    <tabColor theme="3" tint="0.79998168889431442"/>
  </sheetPr>
  <dimension ref="D1:AP501"/>
  <sheetViews>
    <sheetView showGridLines="0" topLeftCell="C3" zoomScale="115" zoomScaleNormal="115" workbookViewId="0">
      <selection activeCell="N8" sqref="N8:T13"/>
    </sheetView>
  </sheetViews>
  <sheetFormatPr defaultRowHeight="12.75" x14ac:dyDescent="0.35"/>
  <cols>
    <col min="1" max="46" width="5.73046875" customWidth="1"/>
  </cols>
  <sheetData>
    <row r="1" spans="4:42" ht="17.45" customHeight="1" x14ac:dyDescent="0.35"/>
    <row r="2" spans="4:42" ht="17.45" customHeight="1" x14ac:dyDescent="0.35">
      <c r="D2" s="272" t="s">
        <v>205</v>
      </c>
      <c r="E2" s="273"/>
      <c r="F2" s="273"/>
      <c r="G2" s="273"/>
      <c r="H2" s="273"/>
      <c r="I2" s="273"/>
      <c r="J2" s="273"/>
      <c r="K2" s="273"/>
      <c r="L2" s="273"/>
      <c r="M2" s="273"/>
      <c r="N2" s="273"/>
      <c r="O2" s="273"/>
      <c r="P2" s="273"/>
      <c r="Q2" s="273"/>
      <c r="R2" s="273"/>
      <c r="S2" s="273"/>
      <c r="T2" s="273"/>
      <c r="U2" s="273"/>
      <c r="V2" s="273"/>
      <c r="W2" s="273"/>
      <c r="X2" s="273"/>
      <c r="Y2" s="273"/>
      <c r="Z2" s="11"/>
      <c r="AA2" s="11"/>
      <c r="AB2" s="11"/>
      <c r="AC2" s="11"/>
      <c r="AD2" s="11"/>
      <c r="AE2" s="11"/>
      <c r="AF2" s="11"/>
      <c r="AG2" s="11"/>
      <c r="AH2" s="11"/>
      <c r="AI2" s="11"/>
      <c r="AJ2" s="11"/>
      <c r="AK2" s="11"/>
      <c r="AL2" s="11"/>
      <c r="AM2" s="11"/>
      <c r="AN2" s="11"/>
      <c r="AO2" s="11"/>
      <c r="AP2" s="11"/>
    </row>
    <row r="3" spans="4:42" ht="17.45" customHeight="1" thickBot="1" x14ac:dyDescent="0.4">
      <c r="D3" s="274"/>
      <c r="E3" s="275"/>
      <c r="F3" s="275"/>
      <c r="G3" s="275"/>
      <c r="H3" s="275"/>
      <c r="I3" s="275"/>
      <c r="J3" s="275"/>
      <c r="K3" s="275"/>
      <c r="L3" s="275"/>
      <c r="M3" s="275"/>
      <c r="N3" s="275"/>
      <c r="O3" s="275"/>
      <c r="P3" s="275"/>
      <c r="Q3" s="275"/>
      <c r="R3" s="275"/>
      <c r="S3" s="275"/>
      <c r="T3" s="275"/>
      <c r="U3" s="275"/>
      <c r="V3" s="275"/>
      <c r="W3" s="275"/>
      <c r="X3" s="275"/>
      <c r="Y3" s="275"/>
      <c r="Z3" s="11"/>
      <c r="AA3" s="11"/>
      <c r="AB3" s="11"/>
      <c r="AC3" s="11"/>
      <c r="AD3" s="11"/>
      <c r="AE3" s="11"/>
      <c r="AF3" s="11"/>
      <c r="AG3" s="11"/>
      <c r="AH3" s="11"/>
      <c r="AI3" s="11"/>
      <c r="AJ3" s="11"/>
      <c r="AK3" s="11"/>
      <c r="AL3" s="11"/>
      <c r="AM3" s="11"/>
      <c r="AN3" s="11"/>
      <c r="AO3" s="11"/>
      <c r="AP3" s="11"/>
    </row>
    <row r="4" spans="4:42" ht="5.0999999999999996" customHeight="1" thickBot="1" x14ac:dyDescent="0.4"/>
    <row r="5" spans="4:42" ht="17.45" customHeight="1" x14ac:dyDescent="0.35">
      <c r="D5" s="124"/>
      <c r="E5" s="125"/>
      <c r="F5" s="125"/>
      <c r="G5" s="125"/>
      <c r="H5" s="125"/>
      <c r="I5" s="125"/>
      <c r="J5" s="125"/>
      <c r="K5" s="125"/>
      <c r="L5" s="125"/>
      <c r="M5" s="125"/>
      <c r="N5" s="125"/>
      <c r="O5" s="125"/>
      <c r="P5" s="125"/>
      <c r="Q5" s="125"/>
      <c r="R5" s="125"/>
      <c r="S5" s="125"/>
      <c r="T5" s="125"/>
      <c r="U5" s="125"/>
      <c r="V5" s="125"/>
      <c r="W5" s="125"/>
      <c r="X5" s="125"/>
      <c r="Y5" s="126"/>
      <c r="Z5" s="11"/>
      <c r="AA5" s="11"/>
      <c r="AB5" s="11"/>
      <c r="AC5" s="11"/>
      <c r="AD5" s="11"/>
      <c r="AE5" s="11"/>
      <c r="AF5" s="11"/>
      <c r="AG5" s="11"/>
      <c r="AH5" s="11"/>
      <c r="AI5" s="11"/>
      <c r="AJ5" s="11"/>
      <c r="AK5" s="11"/>
      <c r="AL5" s="11"/>
      <c r="AM5" s="11"/>
      <c r="AN5" s="11"/>
      <c r="AO5" s="11"/>
      <c r="AP5" s="11"/>
    </row>
    <row r="6" spans="4:42" ht="17.45" customHeight="1" x14ac:dyDescent="0.35">
      <c r="D6" s="281" t="s">
        <v>130</v>
      </c>
      <c r="E6" s="11"/>
      <c r="F6" s="11"/>
      <c r="G6" s="11"/>
      <c r="H6" s="11"/>
      <c r="I6" s="11"/>
      <c r="J6" s="11"/>
      <c r="K6" s="11"/>
      <c r="L6" s="11"/>
      <c r="M6" s="11"/>
      <c r="N6" s="11"/>
      <c r="O6" s="11"/>
      <c r="P6" s="11"/>
      <c r="Q6" s="11"/>
      <c r="R6" s="11"/>
      <c r="S6" s="11"/>
      <c r="T6" s="11"/>
      <c r="U6" s="11"/>
      <c r="V6" s="11"/>
      <c r="W6" s="11"/>
      <c r="X6" s="11"/>
      <c r="Y6" s="128"/>
      <c r="Z6" s="11"/>
      <c r="AA6" s="11"/>
      <c r="AB6" s="11"/>
      <c r="AC6" s="11"/>
      <c r="AD6" s="11"/>
      <c r="AE6" s="11"/>
      <c r="AF6" s="11"/>
      <c r="AG6" s="11"/>
      <c r="AH6" s="11"/>
      <c r="AI6" s="11"/>
      <c r="AJ6" s="11"/>
      <c r="AK6" s="11"/>
      <c r="AL6" s="11"/>
      <c r="AM6" s="11"/>
      <c r="AN6" s="11"/>
      <c r="AO6" s="11"/>
      <c r="AP6" s="11"/>
    </row>
    <row r="7" spans="4:42" ht="17.45" customHeight="1" x14ac:dyDescent="0.35">
      <c r="D7" s="282"/>
      <c r="E7" s="11"/>
      <c r="F7" s="11"/>
      <c r="G7" s="11"/>
      <c r="H7" s="11"/>
      <c r="I7" s="11"/>
      <c r="J7" s="11"/>
      <c r="K7" s="11"/>
      <c r="L7" s="11"/>
      <c r="M7" s="11"/>
      <c r="N7" s="11"/>
      <c r="O7" s="11"/>
      <c r="P7" s="11"/>
      <c r="Q7" s="11"/>
      <c r="R7" s="11"/>
      <c r="S7" s="11"/>
      <c r="T7" s="11"/>
      <c r="U7" s="11"/>
      <c r="V7" s="11"/>
      <c r="W7" s="11"/>
      <c r="X7" s="11"/>
      <c r="Y7" s="128"/>
      <c r="Z7" s="11"/>
      <c r="AA7" s="11"/>
      <c r="AB7" s="11"/>
      <c r="AC7" s="11"/>
      <c r="AD7" s="11"/>
      <c r="AE7" s="11"/>
      <c r="AF7" s="11"/>
      <c r="AG7" s="11"/>
      <c r="AH7" s="11"/>
      <c r="AI7" s="11"/>
      <c r="AJ7" s="11"/>
      <c r="AK7" s="11"/>
      <c r="AL7" s="11"/>
      <c r="AM7" s="11"/>
      <c r="AN7" s="11"/>
      <c r="AO7" s="11"/>
      <c r="AP7" s="11"/>
    </row>
    <row r="8" spans="4:42" ht="17.45" customHeight="1" x14ac:dyDescent="0.35">
      <c r="D8" s="282"/>
      <c r="E8" s="11"/>
      <c r="F8" s="11"/>
      <c r="G8" s="11"/>
      <c r="H8" s="11"/>
      <c r="I8" s="11"/>
      <c r="J8" s="11"/>
      <c r="K8" s="11"/>
      <c r="L8" s="11"/>
      <c r="M8" s="11"/>
      <c r="N8" s="11"/>
      <c r="O8" s="11"/>
      <c r="P8" s="11"/>
      <c r="Q8" s="11"/>
      <c r="R8" s="11"/>
      <c r="S8" s="11"/>
      <c r="T8" s="11"/>
      <c r="U8" s="11"/>
      <c r="V8" s="11"/>
      <c r="W8" s="11"/>
      <c r="X8" s="11"/>
      <c r="Y8" s="128"/>
      <c r="Z8" s="11"/>
      <c r="AA8" s="11"/>
      <c r="AB8" s="11"/>
      <c r="AC8" s="11"/>
      <c r="AD8" s="11"/>
      <c r="AE8" s="11"/>
      <c r="AF8" s="11"/>
      <c r="AG8" s="11"/>
      <c r="AH8" s="11"/>
      <c r="AI8" s="11"/>
      <c r="AJ8" s="11"/>
      <c r="AK8" s="11"/>
      <c r="AL8" s="11"/>
      <c r="AM8" s="11"/>
      <c r="AN8" s="11"/>
      <c r="AO8" s="11"/>
      <c r="AP8" s="11"/>
    </row>
    <row r="9" spans="4:42" ht="17.45" customHeight="1" x14ac:dyDescent="0.35">
      <c r="D9" s="283"/>
      <c r="E9" s="11"/>
      <c r="F9" s="11"/>
      <c r="G9" s="11"/>
      <c r="H9" s="11"/>
      <c r="I9" s="11"/>
      <c r="J9" s="11"/>
      <c r="K9" s="11"/>
      <c r="L9" s="11"/>
      <c r="M9" s="11"/>
      <c r="N9" s="11"/>
      <c r="O9" s="11"/>
      <c r="P9" s="11"/>
      <c r="Q9" s="11"/>
      <c r="R9" s="11"/>
      <c r="S9" s="11"/>
      <c r="T9" s="11"/>
      <c r="U9" s="11"/>
      <c r="V9" s="11"/>
      <c r="W9" s="11"/>
      <c r="X9" s="11"/>
      <c r="Y9" s="128"/>
      <c r="Z9" s="11"/>
      <c r="AA9" s="11"/>
      <c r="AB9" s="11"/>
      <c r="AC9" s="11"/>
      <c r="AD9" s="11"/>
      <c r="AE9" s="11"/>
      <c r="AF9" s="11"/>
      <c r="AG9" s="11"/>
      <c r="AH9" s="11"/>
      <c r="AI9" s="11"/>
      <c r="AJ9" s="11"/>
      <c r="AK9" s="11"/>
      <c r="AL9" s="11"/>
      <c r="AM9" s="11"/>
      <c r="AN9" s="11"/>
      <c r="AO9" s="11"/>
      <c r="AP9" s="11"/>
    </row>
    <row r="10" spans="4:42" ht="17.45" customHeight="1" x14ac:dyDescent="0.35">
      <c r="D10" s="127"/>
      <c r="E10" s="11"/>
      <c r="F10" s="11"/>
      <c r="G10" s="11"/>
      <c r="H10" s="11"/>
      <c r="I10" s="11"/>
      <c r="J10" s="11"/>
      <c r="K10" s="11"/>
      <c r="L10" s="11"/>
      <c r="M10" s="11"/>
      <c r="N10" s="11"/>
      <c r="O10" s="11"/>
      <c r="P10" s="11"/>
      <c r="Q10" s="11"/>
      <c r="R10" s="11"/>
      <c r="S10" s="11"/>
      <c r="T10" s="11"/>
      <c r="U10" s="11"/>
      <c r="V10" s="11"/>
      <c r="W10" s="11"/>
      <c r="X10" s="11"/>
      <c r="Y10" s="128"/>
      <c r="Z10" s="11"/>
      <c r="AA10" s="11"/>
      <c r="AB10" s="11"/>
      <c r="AC10" s="11"/>
      <c r="AD10" s="11"/>
      <c r="AE10" s="11"/>
      <c r="AF10" s="11"/>
      <c r="AG10" s="11"/>
      <c r="AH10" s="11"/>
      <c r="AI10" s="11"/>
      <c r="AJ10" s="11"/>
      <c r="AK10" s="11"/>
      <c r="AL10" s="11"/>
      <c r="AM10" s="11"/>
      <c r="AN10" s="11"/>
      <c r="AO10" s="11"/>
      <c r="AP10" s="11"/>
    </row>
    <row r="11" spans="4:42" ht="17.45" customHeight="1" x14ac:dyDescent="0.35">
      <c r="D11" s="127"/>
      <c r="E11" s="11"/>
      <c r="F11" s="11"/>
      <c r="G11" s="11"/>
      <c r="H11" s="11"/>
      <c r="I11" s="11"/>
      <c r="J11" s="11"/>
      <c r="K11" s="11"/>
      <c r="L11" s="11"/>
      <c r="M11" s="11"/>
      <c r="N11" s="11"/>
      <c r="O11" s="11"/>
      <c r="P11" s="11"/>
      <c r="Q11" s="11"/>
      <c r="R11" s="11"/>
      <c r="S11" s="11"/>
      <c r="T11" s="11"/>
      <c r="U11" s="11"/>
      <c r="V11" s="11"/>
      <c r="W11" s="11"/>
      <c r="X11" s="11"/>
      <c r="Y11" s="128"/>
      <c r="Z11" s="11"/>
      <c r="AA11" s="11"/>
      <c r="AB11" s="11"/>
      <c r="AC11" s="11"/>
      <c r="AD11" s="11"/>
      <c r="AE11" s="11"/>
      <c r="AF11" s="11"/>
      <c r="AG11" s="11"/>
      <c r="AH11" s="11"/>
      <c r="AI11" s="11"/>
      <c r="AJ11" s="11"/>
      <c r="AK11" s="11"/>
      <c r="AL11" s="11"/>
      <c r="AM11" s="11"/>
      <c r="AN11" s="11"/>
      <c r="AO11" s="11"/>
      <c r="AP11" s="11"/>
    </row>
    <row r="12" spans="4:42" ht="17.45" customHeight="1" x14ac:dyDescent="0.35">
      <c r="D12" s="287" t="s">
        <v>131</v>
      </c>
      <c r="E12" s="11"/>
      <c r="F12" s="11"/>
      <c r="G12" s="11"/>
      <c r="H12" s="11"/>
      <c r="I12" s="11"/>
      <c r="J12" s="11"/>
      <c r="K12" s="11"/>
      <c r="L12" s="11"/>
      <c r="M12" s="11"/>
      <c r="N12" s="11"/>
      <c r="O12" s="11"/>
      <c r="P12" s="11"/>
      <c r="Q12" s="11"/>
      <c r="R12" s="11"/>
      <c r="S12" s="11"/>
      <c r="T12" s="11"/>
      <c r="U12" s="11"/>
      <c r="V12" s="11"/>
      <c r="W12" s="11"/>
      <c r="X12" s="11"/>
      <c r="Y12" s="128"/>
      <c r="Z12" s="11"/>
      <c r="AA12" s="11"/>
      <c r="AB12" s="11"/>
      <c r="AC12" s="11"/>
      <c r="AD12" s="11"/>
      <c r="AE12" s="11"/>
      <c r="AF12" s="11"/>
      <c r="AG12" s="11"/>
      <c r="AH12" s="11"/>
      <c r="AI12" s="11"/>
      <c r="AJ12" s="11"/>
      <c r="AK12" s="11"/>
      <c r="AL12" s="11"/>
      <c r="AM12" s="11"/>
      <c r="AN12" s="11"/>
      <c r="AO12" s="11"/>
      <c r="AP12" s="11"/>
    </row>
    <row r="13" spans="4:42" ht="17.45" customHeight="1" x14ac:dyDescent="0.35">
      <c r="D13" s="288"/>
      <c r="E13" s="11"/>
      <c r="F13" s="11"/>
      <c r="G13" s="11"/>
      <c r="H13" s="11"/>
      <c r="I13" s="11"/>
      <c r="J13" s="11"/>
      <c r="K13" s="11"/>
      <c r="L13" s="11"/>
      <c r="M13" s="11"/>
      <c r="N13" s="11"/>
      <c r="O13" s="11"/>
      <c r="P13" s="11"/>
      <c r="Q13" s="11"/>
      <c r="R13" s="11"/>
      <c r="S13" s="11"/>
      <c r="T13" s="11"/>
      <c r="U13" s="11"/>
      <c r="V13" s="11"/>
      <c r="W13" s="11"/>
      <c r="X13" s="11"/>
      <c r="Y13" s="128"/>
      <c r="Z13" s="11"/>
      <c r="AA13" s="11"/>
      <c r="AB13" s="11"/>
      <c r="AC13" s="11"/>
      <c r="AD13" s="11"/>
      <c r="AE13" s="11"/>
      <c r="AF13" s="11"/>
      <c r="AG13" s="11"/>
      <c r="AH13" s="11"/>
      <c r="AI13" s="11"/>
      <c r="AJ13" s="11"/>
      <c r="AK13" s="11"/>
      <c r="AL13" s="11"/>
      <c r="AM13" s="11"/>
      <c r="AN13" s="11"/>
      <c r="AO13" s="11"/>
      <c r="AP13" s="11"/>
    </row>
    <row r="14" spans="4:42" ht="17.45" customHeight="1" x14ac:dyDescent="0.35">
      <c r="D14" s="288"/>
      <c r="E14" s="11"/>
      <c r="F14" s="11"/>
      <c r="G14" s="11"/>
      <c r="H14" s="11"/>
      <c r="I14" s="11"/>
      <c r="J14" s="11"/>
      <c r="K14" s="11"/>
      <c r="L14" s="11"/>
      <c r="M14" s="11"/>
      <c r="N14" s="11"/>
      <c r="O14" s="11"/>
      <c r="P14" s="11"/>
      <c r="Q14" s="11"/>
      <c r="R14" s="11"/>
      <c r="S14" s="11"/>
      <c r="T14" s="11"/>
      <c r="U14" s="11"/>
      <c r="V14" s="11"/>
      <c r="W14" s="11"/>
      <c r="X14" s="11"/>
      <c r="Y14" s="128"/>
      <c r="Z14" s="11"/>
      <c r="AA14" s="11"/>
      <c r="AB14" s="11"/>
      <c r="AC14" s="11"/>
      <c r="AD14" s="11"/>
      <c r="AE14" s="11"/>
      <c r="AF14" s="11"/>
      <c r="AG14" s="11"/>
      <c r="AH14" s="11"/>
      <c r="AI14" s="11"/>
      <c r="AJ14" s="11"/>
      <c r="AK14" s="11"/>
      <c r="AL14" s="11"/>
      <c r="AM14" s="11"/>
      <c r="AN14" s="11"/>
      <c r="AO14" s="11"/>
      <c r="AP14" s="11"/>
    </row>
    <row r="15" spans="4:42" ht="17.45" customHeight="1" x14ac:dyDescent="0.35">
      <c r="D15" s="289"/>
      <c r="E15" s="11"/>
      <c r="F15" s="11"/>
      <c r="G15" s="11"/>
      <c r="H15" s="11"/>
      <c r="I15" s="11"/>
      <c r="J15" s="11"/>
      <c r="K15" s="11"/>
      <c r="L15" s="11"/>
      <c r="M15" s="11"/>
      <c r="N15" s="11"/>
      <c r="O15" s="11"/>
      <c r="P15" s="11"/>
      <c r="Q15" s="11"/>
      <c r="R15" s="11"/>
      <c r="S15" s="11"/>
      <c r="T15" s="11"/>
      <c r="U15" s="11"/>
      <c r="V15" s="11"/>
      <c r="W15" s="11"/>
      <c r="X15" s="11"/>
      <c r="Y15" s="128"/>
      <c r="Z15" s="11"/>
      <c r="AA15" s="11"/>
      <c r="AB15" s="11"/>
      <c r="AC15" s="11"/>
      <c r="AD15" s="11"/>
      <c r="AE15" s="11"/>
      <c r="AF15" s="11"/>
      <c r="AG15" s="11"/>
      <c r="AH15" s="11"/>
      <c r="AI15" s="11"/>
      <c r="AJ15" s="11"/>
      <c r="AK15" s="11"/>
      <c r="AL15" s="11"/>
      <c r="AM15" s="11"/>
      <c r="AN15" s="11"/>
      <c r="AO15" s="11"/>
      <c r="AP15" s="11"/>
    </row>
    <row r="16" spans="4:42" ht="17.45" customHeight="1" x14ac:dyDescent="0.35">
      <c r="D16" s="127"/>
      <c r="E16" s="11"/>
      <c r="F16" s="11"/>
      <c r="G16" s="11"/>
      <c r="H16" s="11"/>
      <c r="I16" s="11"/>
      <c r="J16" s="11"/>
      <c r="K16" s="11"/>
      <c r="L16" s="11"/>
      <c r="M16" s="11"/>
      <c r="N16" s="11"/>
      <c r="O16" s="11"/>
      <c r="P16" s="11"/>
      <c r="Q16" s="11"/>
      <c r="R16" s="11"/>
      <c r="S16" s="11"/>
      <c r="T16" s="11"/>
      <c r="U16" s="11"/>
      <c r="V16" s="11"/>
      <c r="W16" s="11"/>
      <c r="X16" s="11"/>
      <c r="Y16" s="128"/>
      <c r="Z16" s="11"/>
      <c r="AA16" s="11"/>
      <c r="AB16" s="11"/>
      <c r="AC16" s="11"/>
      <c r="AD16" s="11"/>
      <c r="AE16" s="11"/>
      <c r="AF16" s="11"/>
      <c r="AG16" s="11"/>
      <c r="AH16" s="11"/>
      <c r="AI16" s="11"/>
      <c r="AJ16" s="11"/>
      <c r="AK16" s="11"/>
      <c r="AL16" s="11"/>
      <c r="AM16" s="11"/>
      <c r="AN16" s="11"/>
      <c r="AO16" s="11"/>
      <c r="AP16" s="11"/>
    </row>
    <row r="17" spans="4:42" ht="17.45" customHeight="1" x14ac:dyDescent="0.35">
      <c r="D17" s="127"/>
      <c r="E17" s="11"/>
      <c r="F17" s="11"/>
      <c r="G17" s="11"/>
      <c r="H17" s="11"/>
      <c r="I17" s="11"/>
      <c r="J17" s="11"/>
      <c r="K17" s="11"/>
      <c r="L17" s="11"/>
      <c r="M17" s="11"/>
      <c r="N17" s="11"/>
      <c r="O17" s="11"/>
      <c r="P17" s="11"/>
      <c r="Q17" s="11"/>
      <c r="R17" s="11"/>
      <c r="S17" s="11"/>
      <c r="T17" s="11"/>
      <c r="U17" s="11"/>
      <c r="V17" s="11"/>
      <c r="W17" s="11"/>
      <c r="X17" s="11"/>
      <c r="Y17" s="128"/>
      <c r="Z17" s="11"/>
      <c r="AA17" s="11"/>
      <c r="AB17" s="11"/>
      <c r="AC17" s="11"/>
      <c r="AD17" s="11"/>
      <c r="AE17" s="11"/>
      <c r="AF17" s="11"/>
      <c r="AG17" s="11"/>
      <c r="AH17" s="11"/>
      <c r="AI17" s="11"/>
      <c r="AJ17" s="11"/>
      <c r="AK17" s="11"/>
      <c r="AL17" s="11"/>
      <c r="AM17" s="11"/>
      <c r="AN17" s="11"/>
      <c r="AO17" s="11"/>
      <c r="AP17" s="11"/>
    </row>
    <row r="18" spans="4:42" ht="17.45" customHeight="1" x14ac:dyDescent="0.35">
      <c r="D18" s="127"/>
      <c r="E18" s="11"/>
      <c r="F18" s="11"/>
      <c r="G18" s="11"/>
      <c r="H18" s="11"/>
      <c r="I18" s="11"/>
      <c r="J18" s="11"/>
      <c r="K18" s="11"/>
      <c r="L18" s="11"/>
      <c r="M18" s="11"/>
      <c r="N18" s="11"/>
      <c r="O18" s="11"/>
      <c r="P18" s="11"/>
      <c r="Q18" s="11"/>
      <c r="R18" s="11"/>
      <c r="S18" s="11"/>
      <c r="T18" s="11"/>
      <c r="U18" s="11"/>
      <c r="V18" s="11"/>
      <c r="W18" s="11"/>
      <c r="X18" s="11"/>
      <c r="Y18" s="128"/>
      <c r="Z18" s="11"/>
      <c r="AA18" s="11"/>
      <c r="AB18" s="11"/>
      <c r="AC18" s="11"/>
      <c r="AD18" s="11"/>
      <c r="AE18" s="11"/>
      <c r="AF18" s="11"/>
      <c r="AG18" s="11"/>
      <c r="AH18" s="11"/>
      <c r="AI18" s="11"/>
      <c r="AJ18" s="11"/>
      <c r="AK18" s="11"/>
      <c r="AL18" s="11"/>
      <c r="AM18" s="11"/>
      <c r="AN18" s="11"/>
      <c r="AO18" s="11"/>
      <c r="AP18" s="11"/>
    </row>
    <row r="19" spans="4:42" ht="17.45" customHeight="1" x14ac:dyDescent="0.35">
      <c r="D19" s="127"/>
      <c r="E19" s="11"/>
      <c r="F19" s="11"/>
      <c r="G19" s="11"/>
      <c r="H19" s="11"/>
      <c r="I19" s="11"/>
      <c r="J19" s="11"/>
      <c r="K19" s="11"/>
      <c r="L19" s="11"/>
      <c r="M19" s="11"/>
      <c r="N19" s="11"/>
      <c r="O19" s="11"/>
      <c r="P19" s="11"/>
      <c r="Q19" s="11"/>
      <c r="R19" s="11"/>
      <c r="S19" s="11"/>
      <c r="T19" s="11"/>
      <c r="U19" s="11"/>
      <c r="V19" s="11"/>
      <c r="W19" s="11"/>
      <c r="X19" s="11"/>
      <c r="Y19" s="128"/>
      <c r="Z19" s="11"/>
      <c r="AA19" s="11"/>
      <c r="AB19" s="11"/>
      <c r="AC19" s="11"/>
      <c r="AD19" s="11"/>
      <c r="AE19" s="11"/>
      <c r="AF19" s="11"/>
      <c r="AG19" s="11"/>
      <c r="AH19" s="11"/>
      <c r="AI19" s="11"/>
      <c r="AJ19" s="11"/>
      <c r="AK19" s="11"/>
      <c r="AL19" s="11"/>
      <c r="AM19" s="11"/>
      <c r="AN19" s="11"/>
      <c r="AO19" s="11"/>
      <c r="AP19" s="11"/>
    </row>
    <row r="20" spans="4:42" ht="17.45" customHeight="1" x14ac:dyDescent="0.35">
      <c r="D20" s="127"/>
      <c r="E20" s="11"/>
      <c r="F20" s="11"/>
      <c r="G20" s="11"/>
      <c r="H20" s="11"/>
      <c r="I20" s="11"/>
      <c r="J20" s="11"/>
      <c r="K20" s="11"/>
      <c r="L20" s="11"/>
      <c r="M20" s="11"/>
      <c r="N20" s="11"/>
      <c r="O20" s="11"/>
      <c r="P20" s="11"/>
      <c r="Q20" s="11"/>
      <c r="R20" s="11"/>
      <c r="S20" s="11"/>
      <c r="T20" s="11"/>
      <c r="U20" s="11"/>
      <c r="V20" s="11"/>
      <c r="W20" s="11"/>
      <c r="X20" s="11"/>
      <c r="Y20" s="128"/>
      <c r="Z20" s="11"/>
      <c r="AA20" s="11"/>
      <c r="AB20" s="11"/>
      <c r="AC20" s="11"/>
      <c r="AD20" s="11"/>
      <c r="AE20" s="11"/>
      <c r="AF20" s="11"/>
      <c r="AG20" s="11"/>
      <c r="AH20" s="11"/>
      <c r="AI20" s="11"/>
      <c r="AJ20" s="11"/>
      <c r="AK20" s="11"/>
      <c r="AL20" s="11"/>
      <c r="AM20" s="11"/>
      <c r="AN20" s="11"/>
      <c r="AO20" s="11"/>
      <c r="AP20" s="11"/>
    </row>
    <row r="21" spans="4:42" ht="17.45" customHeight="1" x14ac:dyDescent="0.35">
      <c r="D21" s="127"/>
      <c r="E21" s="11"/>
      <c r="F21" s="11"/>
      <c r="G21" s="11"/>
      <c r="H21" s="11"/>
      <c r="I21" s="11"/>
      <c r="J21" s="11"/>
      <c r="K21" s="11"/>
      <c r="L21" s="11"/>
      <c r="M21" s="11"/>
      <c r="N21" s="11"/>
      <c r="O21" s="11"/>
      <c r="P21" s="11"/>
      <c r="Q21" s="11"/>
      <c r="R21" s="11"/>
      <c r="S21" s="11"/>
      <c r="T21" s="11"/>
      <c r="U21" s="11"/>
      <c r="V21" s="11"/>
      <c r="W21" s="11"/>
      <c r="X21" s="11"/>
      <c r="Y21" s="128"/>
      <c r="Z21" s="11"/>
      <c r="AA21" s="11"/>
      <c r="AB21" s="11"/>
      <c r="AC21" s="11"/>
      <c r="AD21" s="11"/>
      <c r="AE21" s="11"/>
      <c r="AF21" s="11"/>
      <c r="AG21" s="11"/>
      <c r="AH21" s="11"/>
      <c r="AI21" s="11"/>
      <c r="AJ21" s="11"/>
      <c r="AK21" s="11"/>
      <c r="AL21" s="11"/>
      <c r="AM21" s="11"/>
      <c r="AN21" s="11"/>
      <c r="AO21" s="11"/>
      <c r="AP21" s="11"/>
    </row>
    <row r="22" spans="4:42" ht="17.45" customHeight="1" x14ac:dyDescent="0.35">
      <c r="D22" s="127"/>
      <c r="E22" s="11"/>
      <c r="F22" s="11"/>
      <c r="G22" s="11"/>
      <c r="H22" s="11"/>
      <c r="I22" s="11"/>
      <c r="J22" s="11"/>
      <c r="K22" s="11"/>
      <c r="L22" s="11"/>
      <c r="M22" s="11"/>
      <c r="N22" s="11"/>
      <c r="O22" s="11"/>
      <c r="P22" s="11"/>
      <c r="Q22" s="11"/>
      <c r="R22" s="11"/>
      <c r="S22" s="11"/>
      <c r="T22" s="11"/>
      <c r="U22" s="11"/>
      <c r="V22" s="11"/>
      <c r="W22" s="11"/>
      <c r="X22" s="11"/>
      <c r="Y22" s="128"/>
      <c r="Z22" s="11"/>
      <c r="AA22" s="11"/>
      <c r="AB22" s="11"/>
      <c r="AC22" s="11"/>
      <c r="AD22" s="11"/>
      <c r="AE22" s="11"/>
      <c r="AF22" s="11"/>
      <c r="AG22" s="11"/>
      <c r="AH22" s="11"/>
      <c r="AI22" s="11"/>
      <c r="AJ22" s="11"/>
      <c r="AK22" s="11"/>
      <c r="AL22" s="11"/>
      <c r="AM22" s="11"/>
      <c r="AN22" s="11"/>
      <c r="AO22" s="11"/>
      <c r="AP22" s="11"/>
    </row>
    <row r="23" spans="4:42" ht="17.45" customHeight="1" x14ac:dyDescent="0.35">
      <c r="D23" s="127"/>
      <c r="E23" s="11"/>
      <c r="F23" s="11"/>
      <c r="G23" s="11"/>
      <c r="H23" s="11"/>
      <c r="I23" s="11"/>
      <c r="J23" s="11"/>
      <c r="K23" s="11"/>
      <c r="L23" s="11"/>
      <c r="M23" s="11"/>
      <c r="N23" s="11"/>
      <c r="O23" s="11"/>
      <c r="P23" s="11"/>
      <c r="Q23" s="11"/>
      <c r="R23" s="11"/>
      <c r="S23" s="11"/>
      <c r="T23" s="11"/>
      <c r="U23" s="11"/>
      <c r="V23" s="11"/>
      <c r="W23" s="11"/>
      <c r="X23" s="11"/>
      <c r="Y23" s="128"/>
      <c r="Z23" s="11"/>
      <c r="AA23" s="11"/>
      <c r="AB23" s="11"/>
      <c r="AC23" s="11"/>
      <c r="AD23" s="11"/>
      <c r="AE23" s="11"/>
      <c r="AF23" s="11"/>
      <c r="AG23" s="11"/>
      <c r="AH23" s="11"/>
      <c r="AI23" s="11"/>
      <c r="AJ23" s="11"/>
      <c r="AK23" s="11"/>
      <c r="AL23" s="11"/>
      <c r="AM23" s="11"/>
      <c r="AN23" s="11"/>
      <c r="AO23" s="11"/>
      <c r="AP23" s="11"/>
    </row>
    <row r="24" spans="4:42" ht="17.45" customHeight="1" thickBot="1" x14ac:dyDescent="0.4">
      <c r="D24" s="129"/>
      <c r="E24" s="279" t="s">
        <v>129</v>
      </c>
      <c r="F24" s="280"/>
      <c r="G24" s="130"/>
      <c r="H24" s="130"/>
      <c r="I24" s="130"/>
      <c r="J24" s="130"/>
      <c r="K24" s="276" t="s">
        <v>128</v>
      </c>
      <c r="L24" s="277"/>
      <c r="M24" s="278"/>
      <c r="N24" s="130"/>
      <c r="O24" s="130"/>
      <c r="P24" s="130"/>
      <c r="Q24" s="130"/>
      <c r="R24" s="130"/>
      <c r="S24" s="284" t="s">
        <v>130</v>
      </c>
      <c r="T24" s="285"/>
      <c r="U24" s="286"/>
      <c r="V24" s="130"/>
      <c r="W24" s="130"/>
      <c r="X24" s="130"/>
      <c r="Y24" s="131"/>
      <c r="Z24" s="11"/>
      <c r="AA24" s="11"/>
      <c r="AB24" s="11"/>
      <c r="AC24" s="11"/>
      <c r="AD24" s="11"/>
      <c r="AE24" s="11"/>
      <c r="AF24" s="11"/>
      <c r="AG24" s="11"/>
      <c r="AH24" s="11"/>
      <c r="AI24" s="11"/>
      <c r="AJ24" s="11"/>
      <c r="AK24" s="11"/>
      <c r="AL24" s="11"/>
      <c r="AM24" s="11"/>
      <c r="AN24" s="11"/>
      <c r="AO24" s="11"/>
      <c r="AP24" s="11"/>
    </row>
    <row r="25" spans="4:42" ht="17.45" customHeight="1" x14ac:dyDescent="0.35">
      <c r="D25" s="125"/>
      <c r="E25" s="125"/>
      <c r="F25" s="125"/>
      <c r="G25" s="125"/>
      <c r="H25" s="125"/>
      <c r="I25" s="125"/>
      <c r="J25" s="125"/>
      <c r="K25" s="125"/>
      <c r="L25" s="125"/>
      <c r="M25" s="125"/>
      <c r="N25" s="125"/>
      <c r="O25" s="125"/>
      <c r="P25" s="125"/>
      <c r="Q25" s="125"/>
      <c r="R25" s="125"/>
      <c r="S25" s="125"/>
      <c r="T25" s="125"/>
      <c r="U25" s="125"/>
      <c r="V25" s="125"/>
      <c r="W25" s="125"/>
      <c r="X25" s="125"/>
      <c r="Y25" s="125"/>
      <c r="Z25" s="11"/>
      <c r="AA25" s="11"/>
      <c r="AB25" s="11"/>
      <c r="AC25" s="11"/>
      <c r="AD25" s="11"/>
      <c r="AE25" s="11"/>
      <c r="AF25" s="11"/>
      <c r="AG25" s="11"/>
      <c r="AH25" s="11"/>
      <c r="AI25" s="11"/>
      <c r="AJ25" s="11"/>
      <c r="AK25" s="11"/>
      <c r="AL25" s="11"/>
      <c r="AM25" s="11"/>
      <c r="AN25" s="11"/>
      <c r="AO25" s="11"/>
      <c r="AP25" s="11"/>
    </row>
    <row r="26" spans="4:42" ht="17.45" customHeight="1" x14ac:dyDescent="0.35">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row>
    <row r="27" spans="4:42" ht="17.45" customHeight="1" x14ac:dyDescent="0.35">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row>
    <row r="28" spans="4:42" ht="17.45" customHeight="1" x14ac:dyDescent="0.35">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row>
    <row r="29" spans="4:42" ht="17.45" customHeight="1" x14ac:dyDescent="0.35">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row>
    <row r="30" spans="4:42" ht="17.45" customHeight="1" x14ac:dyDescent="0.35">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row>
    <row r="31" spans="4:42" ht="17.45" customHeight="1" x14ac:dyDescent="0.35">
      <c r="D31" s="11"/>
      <c r="E31" s="11"/>
      <c r="F31" s="11"/>
      <c r="G31" s="11"/>
      <c r="H31" s="11"/>
      <c r="I31" s="11"/>
      <c r="J31" s="11"/>
      <c r="K31" s="11"/>
      <c r="L31" s="11"/>
      <c r="M31" s="11"/>
      <c r="N31" s="11"/>
      <c r="O31" s="271"/>
      <c r="P31" s="271"/>
      <c r="Q31" s="11"/>
      <c r="R31" s="11"/>
      <c r="S31" s="11"/>
      <c r="T31" s="11"/>
      <c r="U31" s="271"/>
      <c r="V31" s="271"/>
      <c r="W31" s="11"/>
      <c r="X31" s="11"/>
      <c r="Y31" s="11"/>
      <c r="Z31" s="11"/>
      <c r="AA31" s="11"/>
      <c r="AB31" s="11"/>
      <c r="AC31" s="11"/>
      <c r="AD31" s="11"/>
      <c r="AE31" s="11"/>
      <c r="AF31" s="11"/>
      <c r="AG31" s="11"/>
      <c r="AH31" s="11"/>
      <c r="AI31" s="11"/>
      <c r="AJ31" s="11"/>
      <c r="AK31" s="11"/>
      <c r="AL31" s="11"/>
      <c r="AM31" s="11"/>
      <c r="AN31" s="11"/>
      <c r="AO31" s="11"/>
      <c r="AP31" s="11"/>
    </row>
    <row r="32" spans="4:42" ht="17.45" customHeight="1" x14ac:dyDescent="0.35"/>
    <row r="33" ht="17.45" customHeight="1" x14ac:dyDescent="0.35"/>
    <row r="34" ht="17.45" customHeight="1" x14ac:dyDescent="0.35"/>
    <row r="35" ht="17.45" customHeight="1" x14ac:dyDescent="0.35"/>
    <row r="36" ht="17.45" customHeight="1" x14ac:dyDescent="0.35"/>
    <row r="37" ht="17.45" customHeight="1" x14ac:dyDescent="0.35"/>
    <row r="38" ht="17.45" customHeight="1" x14ac:dyDescent="0.35"/>
    <row r="39" ht="17.45" customHeight="1" x14ac:dyDescent="0.35"/>
    <row r="40" ht="17.45" customHeight="1" x14ac:dyDescent="0.35"/>
    <row r="41" ht="17.45" customHeight="1" x14ac:dyDescent="0.35"/>
    <row r="42" ht="17.45" customHeight="1" x14ac:dyDescent="0.35"/>
    <row r="43" ht="17.45" customHeight="1" x14ac:dyDescent="0.35"/>
    <row r="44" ht="17.45" customHeight="1" x14ac:dyDescent="0.35"/>
    <row r="45" ht="17.45" customHeight="1" x14ac:dyDescent="0.35"/>
    <row r="46" ht="17.45" customHeight="1" x14ac:dyDescent="0.35"/>
    <row r="47" ht="17.45" customHeight="1" x14ac:dyDescent="0.35"/>
    <row r="48"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sheetData>
  <sheetProtection algorithmName="SHA-512" hashValue="Ph93pvACLPAE82/6Uhs5pj3aERlZslQfSdE9fhGjyDLhKosBdNjqirIHQ8nQ0RWOIp1i72CXKfA9uLwMybguDg==" saltValue="LNPbzfbGuO7RiSB2F9YEeA==" spinCount="100000" sheet="1" objects="1" scenarios="1" selectLockedCells="1" selectUnlockedCells="1"/>
  <mergeCells count="8">
    <mergeCell ref="O31:P31"/>
    <mergeCell ref="U31:V31"/>
    <mergeCell ref="D2:Y3"/>
    <mergeCell ref="K24:M24"/>
    <mergeCell ref="E24:F24"/>
    <mergeCell ref="D6:D9"/>
    <mergeCell ref="S24:U24"/>
    <mergeCell ref="D12:D15"/>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A2B7D-F5DD-4138-AEA5-EF5C5737840A}">
  <sheetPr codeName="Sheet5">
    <tabColor theme="3" tint="0.79998168889431442"/>
  </sheetPr>
  <dimension ref="D1:AG503"/>
  <sheetViews>
    <sheetView showGridLines="0" zoomScale="55" zoomScaleNormal="55" workbookViewId="0">
      <selection activeCell="N8" sqref="N8:T13"/>
    </sheetView>
  </sheetViews>
  <sheetFormatPr defaultRowHeight="12.75" x14ac:dyDescent="0.35"/>
  <cols>
    <col min="1" max="46" width="5.73046875" customWidth="1"/>
  </cols>
  <sheetData>
    <row r="1" spans="4:32" ht="17.45" customHeight="1" x14ac:dyDescent="0.35"/>
    <row r="2" spans="4:32" ht="17.45" customHeight="1" x14ac:dyDescent="0.35">
      <c r="D2" s="272" t="s">
        <v>204</v>
      </c>
      <c r="E2" s="273"/>
      <c r="F2" s="273"/>
      <c r="G2" s="273"/>
      <c r="H2" s="273"/>
      <c r="I2" s="273"/>
      <c r="J2" s="273"/>
      <c r="K2" s="273"/>
      <c r="L2" s="273"/>
      <c r="M2" s="273"/>
      <c r="N2" s="273"/>
      <c r="O2" s="273"/>
      <c r="P2" s="273"/>
      <c r="Q2" s="273"/>
      <c r="R2" s="273"/>
      <c r="S2" s="273"/>
      <c r="T2" s="273"/>
      <c r="U2" s="273"/>
      <c r="V2" s="273"/>
      <c r="W2" s="273"/>
      <c r="X2" s="273"/>
      <c r="Y2" s="273"/>
      <c r="Z2" s="273"/>
      <c r="AA2" s="273"/>
      <c r="AB2" s="273"/>
      <c r="AC2" s="273"/>
      <c r="AD2" s="273"/>
      <c r="AE2" s="273"/>
    </row>
    <row r="3" spans="4:32" ht="17.45" customHeight="1" thickBot="1" x14ac:dyDescent="0.4">
      <c r="D3" s="274"/>
      <c r="E3" s="275"/>
      <c r="F3" s="275"/>
      <c r="G3" s="275"/>
      <c r="H3" s="275"/>
      <c r="I3" s="275"/>
      <c r="J3" s="275"/>
      <c r="K3" s="275"/>
      <c r="L3" s="275"/>
      <c r="M3" s="275"/>
      <c r="N3" s="275"/>
      <c r="O3" s="275"/>
      <c r="P3" s="275"/>
      <c r="Q3" s="275"/>
      <c r="R3" s="275"/>
      <c r="S3" s="275"/>
      <c r="T3" s="275"/>
      <c r="U3" s="275"/>
      <c r="V3" s="275"/>
      <c r="W3" s="275"/>
      <c r="X3" s="275"/>
      <c r="Y3" s="275"/>
      <c r="Z3" s="275"/>
      <c r="AA3" s="275"/>
      <c r="AB3" s="275"/>
      <c r="AC3" s="275"/>
      <c r="AD3" s="275"/>
      <c r="AE3" s="275"/>
    </row>
    <row r="4" spans="4:32" ht="5.0999999999999996" customHeight="1" thickBot="1" x14ac:dyDescent="0.4"/>
    <row r="5" spans="4:32" ht="17.45" customHeight="1" x14ac:dyDescent="0.35">
      <c r="D5" s="132"/>
      <c r="E5" s="133"/>
      <c r="F5" s="133"/>
      <c r="G5" s="133"/>
      <c r="H5" s="133"/>
      <c r="I5" s="133"/>
      <c r="J5" s="133"/>
      <c r="K5" s="133"/>
      <c r="L5" s="133"/>
      <c r="M5" s="133"/>
      <c r="N5" s="133"/>
      <c r="O5" s="133"/>
      <c r="P5" s="133"/>
      <c r="Q5" s="133"/>
      <c r="R5" s="133"/>
      <c r="S5" s="133"/>
      <c r="T5" s="133"/>
      <c r="U5" s="291"/>
      <c r="V5" s="291"/>
      <c r="W5" s="133"/>
      <c r="X5" s="133"/>
      <c r="Y5" s="133"/>
      <c r="Z5" s="133"/>
      <c r="AA5" s="133"/>
      <c r="AB5" s="133"/>
      <c r="AC5" s="133"/>
      <c r="AD5" s="133"/>
      <c r="AE5" s="134"/>
      <c r="AF5" s="116"/>
    </row>
    <row r="6" spans="4:32" ht="17.45" customHeight="1" x14ac:dyDescent="0.35">
      <c r="D6" s="116"/>
      <c r="AE6" s="117"/>
    </row>
    <row r="7" spans="4:32" ht="17.45" customHeight="1" x14ac:dyDescent="0.35">
      <c r="D7" s="116"/>
      <c r="AE7" s="117"/>
    </row>
    <row r="8" spans="4:32" ht="17.45" customHeight="1" x14ac:dyDescent="0.35">
      <c r="D8" s="116"/>
      <c r="AE8" s="117"/>
    </row>
    <row r="9" spans="4:32" ht="17.45" customHeight="1" x14ac:dyDescent="0.35">
      <c r="D9" s="116"/>
      <c r="AE9" s="117"/>
    </row>
    <row r="10" spans="4:32" ht="17.45" customHeight="1" x14ac:dyDescent="0.35">
      <c r="D10" s="116"/>
      <c r="AE10" s="117"/>
    </row>
    <row r="11" spans="4:32" ht="17.25" customHeight="1" x14ac:dyDescent="0.35">
      <c r="D11" s="281" t="s">
        <v>130</v>
      </c>
      <c r="AE11" s="292" t="s">
        <v>130</v>
      </c>
    </row>
    <row r="12" spans="4:32" ht="17.45" customHeight="1" x14ac:dyDescent="0.35">
      <c r="D12" s="282"/>
      <c r="AE12" s="293"/>
    </row>
    <row r="13" spans="4:32" ht="30.75" customHeight="1" x14ac:dyDescent="0.35">
      <c r="D13" s="282"/>
      <c r="AE13" s="293"/>
    </row>
    <row r="14" spans="4:32" ht="17.45" customHeight="1" x14ac:dyDescent="0.35">
      <c r="D14" s="283"/>
      <c r="AE14" s="294"/>
    </row>
    <row r="15" spans="4:32" ht="17.45" customHeight="1" x14ac:dyDescent="0.35">
      <c r="D15" s="116"/>
      <c r="AE15" s="117"/>
    </row>
    <row r="16" spans="4:32" ht="17.45" customHeight="1" x14ac:dyDescent="0.35">
      <c r="D16" s="295" t="s">
        <v>131</v>
      </c>
      <c r="AE16" s="117"/>
    </row>
    <row r="17" spans="4:31" ht="17.45" customHeight="1" x14ac:dyDescent="0.35">
      <c r="D17" s="296"/>
      <c r="AE17" s="117"/>
    </row>
    <row r="18" spans="4:31" ht="17.45" customHeight="1" x14ac:dyDescent="0.35">
      <c r="D18" s="296"/>
      <c r="AE18" s="117"/>
    </row>
    <row r="19" spans="4:31" ht="17.45" customHeight="1" x14ac:dyDescent="0.35">
      <c r="D19" s="296"/>
      <c r="AE19" s="117"/>
    </row>
    <row r="20" spans="4:31" ht="17.45" customHeight="1" x14ac:dyDescent="0.35">
      <c r="D20" s="297"/>
      <c r="AE20" s="117"/>
    </row>
    <row r="21" spans="4:31" ht="17.45" customHeight="1" x14ac:dyDescent="0.35">
      <c r="D21" s="116"/>
      <c r="AE21" s="117"/>
    </row>
    <row r="22" spans="4:31" ht="17.45" customHeight="1" x14ac:dyDescent="0.35">
      <c r="D22" s="116"/>
      <c r="AE22" s="117"/>
    </row>
    <row r="23" spans="4:31" ht="17.45" customHeight="1" x14ac:dyDescent="0.35">
      <c r="D23" s="116"/>
      <c r="AE23" s="117"/>
    </row>
    <row r="24" spans="4:31" ht="17.45" customHeight="1" x14ac:dyDescent="0.35">
      <c r="D24" s="116"/>
      <c r="AE24" s="117"/>
    </row>
    <row r="25" spans="4:31" ht="17.45" customHeight="1" x14ac:dyDescent="0.35">
      <c r="D25" s="116"/>
      <c r="AE25" s="117"/>
    </row>
    <row r="26" spans="4:31" ht="17.45" customHeight="1" x14ac:dyDescent="0.35">
      <c r="D26" s="116"/>
      <c r="AE26" s="117"/>
    </row>
    <row r="27" spans="4:31" ht="17.45" customHeight="1" x14ac:dyDescent="0.35">
      <c r="D27" s="116"/>
      <c r="AE27" s="117"/>
    </row>
    <row r="28" spans="4:31" ht="17.45" customHeight="1" x14ac:dyDescent="0.35">
      <c r="D28" s="116"/>
      <c r="AE28" s="117"/>
    </row>
    <row r="29" spans="4:31" ht="17.45" customHeight="1" x14ac:dyDescent="0.35">
      <c r="D29" s="116"/>
      <c r="AE29" s="117"/>
    </row>
    <row r="30" spans="4:31" ht="17.45" customHeight="1" x14ac:dyDescent="0.35">
      <c r="D30" s="116"/>
      <c r="AE30" s="117"/>
    </row>
    <row r="31" spans="4:31" ht="17.45" customHeight="1" x14ac:dyDescent="0.35">
      <c r="D31" s="116"/>
      <c r="AE31" s="117"/>
    </row>
    <row r="32" spans="4:31" ht="17.45" customHeight="1" x14ac:dyDescent="0.35">
      <c r="D32" s="138"/>
      <c r="E32" s="139"/>
      <c r="F32" s="304" t="s">
        <v>129</v>
      </c>
      <c r="G32" s="305"/>
      <c r="H32" s="139"/>
      <c r="I32" s="139"/>
      <c r="J32" s="139"/>
      <c r="K32" s="139"/>
      <c r="L32" s="139"/>
      <c r="M32" s="139"/>
      <c r="N32" s="139"/>
      <c r="O32" s="298" t="s">
        <v>128</v>
      </c>
      <c r="P32" s="299"/>
      <c r="Q32" s="300"/>
      <c r="R32" s="139"/>
      <c r="S32" s="139"/>
      <c r="T32" s="139"/>
      <c r="U32" s="139"/>
      <c r="V32" s="139"/>
      <c r="W32" s="139"/>
      <c r="X32" s="139"/>
      <c r="Y32" s="139"/>
      <c r="Z32" s="139"/>
      <c r="AA32" s="139"/>
      <c r="AB32" s="298" t="s">
        <v>128</v>
      </c>
      <c r="AC32" s="299"/>
      <c r="AD32" s="300"/>
      <c r="AE32" s="140"/>
    </row>
    <row r="33" spans="4:33" ht="17.45" customHeight="1" thickBot="1" x14ac:dyDescent="0.4">
      <c r="D33" s="135"/>
      <c r="E33" s="136"/>
      <c r="F33" s="306"/>
      <c r="G33" s="307"/>
      <c r="H33" s="136"/>
      <c r="I33" s="136"/>
      <c r="J33" s="136"/>
      <c r="K33" s="136"/>
      <c r="L33" s="136"/>
      <c r="M33" s="136"/>
      <c r="N33" s="136"/>
      <c r="O33" s="301"/>
      <c r="P33" s="302"/>
      <c r="Q33" s="303"/>
      <c r="R33" s="136"/>
      <c r="S33" s="136"/>
      <c r="T33" s="136"/>
      <c r="U33" s="136"/>
      <c r="V33" s="136"/>
      <c r="W33" s="136"/>
      <c r="X33" s="136"/>
      <c r="Y33" s="136"/>
      <c r="Z33" s="136"/>
      <c r="AA33" s="136"/>
      <c r="AB33" s="301"/>
      <c r="AC33" s="302"/>
      <c r="AD33" s="303"/>
      <c r="AE33" s="137"/>
      <c r="AF33" s="290"/>
      <c r="AG33" s="290"/>
    </row>
    <row r="34" spans="4:33" ht="17.45" customHeight="1" x14ac:dyDescent="0.35"/>
    <row r="35" spans="4:33" ht="17.45" customHeight="1" x14ac:dyDescent="0.35"/>
    <row r="36" spans="4:33" ht="17.45" customHeight="1" x14ac:dyDescent="0.35"/>
    <row r="37" spans="4:33" ht="17.45" customHeight="1" x14ac:dyDescent="0.35"/>
    <row r="38" spans="4:33" ht="17.45" customHeight="1" x14ac:dyDescent="0.35"/>
    <row r="39" spans="4:33" ht="17.45" customHeight="1" x14ac:dyDescent="0.35"/>
    <row r="40" spans="4:33" ht="17.45" customHeight="1" x14ac:dyDescent="0.35"/>
    <row r="41" spans="4:33" ht="17.45" customHeight="1" x14ac:dyDescent="0.35"/>
    <row r="42" spans="4:33" ht="17.45" customHeight="1" x14ac:dyDescent="0.35"/>
    <row r="43" spans="4:33" ht="17.45" customHeight="1" x14ac:dyDescent="0.35"/>
    <row r="44" spans="4:33" ht="17.45" customHeight="1" x14ac:dyDescent="0.35"/>
    <row r="45" spans="4:33" ht="17.45" customHeight="1" x14ac:dyDescent="0.35"/>
    <row r="46" spans="4:33" ht="17.45" customHeight="1" x14ac:dyDescent="0.35"/>
    <row r="47" spans="4:33" ht="17.45" customHeight="1" x14ac:dyDescent="0.35"/>
    <row r="48" spans="4:33"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row r="502" ht="17.45" customHeight="1" x14ac:dyDescent="0.35"/>
    <row r="503" ht="17.45" customHeight="1" x14ac:dyDescent="0.35"/>
  </sheetData>
  <sheetProtection algorithmName="SHA-512" hashValue="U5CU1Y2vfJmv6t09FjnAuEAQBShKYQ+bPr8M9GBa35+gQ6xddOI7BBpFMGI38BS01b6rHwNOUsH95hrPKnz6YA==" saltValue="TlH4kg790vo2gf8gknRFMQ==" spinCount="100000" sheet="1" objects="1" scenarios="1" selectLockedCells="1" selectUnlockedCells="1"/>
  <mergeCells count="9">
    <mergeCell ref="AF33:AG33"/>
    <mergeCell ref="U5:V5"/>
    <mergeCell ref="D2:AE3"/>
    <mergeCell ref="AE11:AE14"/>
    <mergeCell ref="D11:D14"/>
    <mergeCell ref="D16:D20"/>
    <mergeCell ref="O32:Q33"/>
    <mergeCell ref="AB32:AD33"/>
    <mergeCell ref="F32:G3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B1E09-4A58-4AD9-BCD6-EB64CC872CB1}">
  <sheetPr codeName="Sheet9">
    <tabColor theme="3" tint="0.79998168889431442"/>
  </sheetPr>
  <dimension ref="B1:AI503"/>
  <sheetViews>
    <sheetView showGridLines="0" topLeftCell="A21" zoomScale="85" zoomScaleNormal="85" workbookViewId="0">
      <selection activeCell="N8" sqref="K8:AD13"/>
    </sheetView>
  </sheetViews>
  <sheetFormatPr defaultRowHeight="12.75" x14ac:dyDescent="0.35"/>
  <cols>
    <col min="1" max="34" width="5.73046875" customWidth="1"/>
  </cols>
  <sheetData>
    <row r="1" spans="2:35" ht="17.45" customHeight="1" x14ac:dyDescent="0.35"/>
    <row r="2" spans="2:35" ht="17.45" customHeight="1" x14ac:dyDescent="0.35">
      <c r="B2" s="272" t="s">
        <v>203</v>
      </c>
      <c r="C2" s="273"/>
      <c r="D2" s="273"/>
      <c r="E2" s="273"/>
      <c r="F2" s="273"/>
      <c r="G2" s="273"/>
      <c r="H2" s="273"/>
      <c r="I2" s="273"/>
      <c r="J2" s="273"/>
      <c r="K2" s="273"/>
      <c r="L2" s="273"/>
      <c r="M2" s="273"/>
      <c r="N2" s="273"/>
      <c r="O2" s="273"/>
      <c r="P2" s="273"/>
      <c r="Q2" s="273"/>
      <c r="R2" s="273"/>
      <c r="S2" s="273"/>
      <c r="T2" s="273"/>
      <c r="U2" s="273"/>
      <c r="V2" s="273"/>
      <c r="W2" s="273"/>
      <c r="X2" s="273"/>
      <c r="Y2" s="273"/>
      <c r="Z2" s="273"/>
      <c r="AA2" s="273"/>
      <c r="AB2" s="273"/>
      <c r="AC2" s="273"/>
      <c r="AD2" s="273"/>
      <c r="AE2" s="273"/>
      <c r="AF2" s="273"/>
      <c r="AG2" s="273"/>
      <c r="AH2" s="273"/>
      <c r="AI2" s="273"/>
    </row>
    <row r="3" spans="2:35" ht="17.45" customHeight="1" x14ac:dyDescent="0.35">
      <c r="B3" s="272"/>
      <c r="C3" s="273"/>
      <c r="D3" s="273"/>
      <c r="E3" s="273"/>
      <c r="F3" s="273"/>
      <c r="G3" s="273"/>
      <c r="H3" s="273"/>
      <c r="I3" s="273"/>
      <c r="J3" s="273"/>
      <c r="K3" s="273"/>
      <c r="L3" s="273"/>
      <c r="M3" s="273"/>
      <c r="N3" s="273"/>
      <c r="O3" s="273"/>
      <c r="P3" s="273"/>
      <c r="Q3" s="273"/>
      <c r="R3" s="273"/>
      <c r="S3" s="273"/>
      <c r="T3" s="273"/>
      <c r="U3" s="273"/>
      <c r="V3" s="273"/>
      <c r="W3" s="273"/>
      <c r="X3" s="273"/>
      <c r="Y3" s="273"/>
      <c r="Z3" s="273"/>
      <c r="AA3" s="273"/>
      <c r="AB3" s="273"/>
      <c r="AC3" s="273"/>
      <c r="AD3" s="273"/>
      <c r="AE3" s="273"/>
      <c r="AF3" s="273"/>
      <c r="AG3" s="273"/>
      <c r="AH3" s="273"/>
      <c r="AI3" s="273"/>
    </row>
    <row r="4" spans="2:35" ht="5.0999999999999996" customHeight="1" thickBot="1" x14ac:dyDescent="0.4"/>
    <row r="5" spans="2:35" ht="17.45" customHeight="1" x14ac:dyDescent="0.35">
      <c r="B5" s="132"/>
      <c r="C5" s="133"/>
      <c r="D5" s="133"/>
      <c r="E5" s="133"/>
      <c r="F5" s="133"/>
      <c r="G5" s="133"/>
      <c r="H5" s="133"/>
      <c r="I5" s="291"/>
      <c r="J5" s="291"/>
      <c r="K5" s="133"/>
      <c r="L5" s="133"/>
      <c r="M5" s="133"/>
      <c r="N5" s="133"/>
      <c r="O5" s="133"/>
      <c r="P5" s="133"/>
      <c r="Q5" s="133"/>
      <c r="R5" s="133"/>
      <c r="S5" s="133"/>
      <c r="T5" s="133"/>
      <c r="U5" s="133"/>
      <c r="V5" s="133"/>
      <c r="W5" s="133"/>
      <c r="X5" s="133"/>
      <c r="Y5" s="133"/>
      <c r="Z5" s="133"/>
      <c r="AA5" s="133"/>
      <c r="AB5" s="133"/>
      <c r="AC5" s="133"/>
      <c r="AD5" s="133"/>
      <c r="AE5" s="133"/>
      <c r="AF5" s="318" t="s">
        <v>132</v>
      </c>
      <c r="AG5" s="319"/>
      <c r="AH5" s="133"/>
      <c r="AI5" s="141"/>
    </row>
    <row r="6" spans="2:35" ht="17.45" customHeight="1" thickBot="1" x14ac:dyDescent="0.4">
      <c r="B6" s="116"/>
      <c r="AF6" s="320"/>
      <c r="AG6" s="321"/>
      <c r="AI6" s="142"/>
    </row>
    <row r="7" spans="2:35" ht="17.45" customHeight="1" x14ac:dyDescent="0.35">
      <c r="B7" s="322" t="s">
        <v>133</v>
      </c>
      <c r="D7" s="309" t="s">
        <v>135</v>
      </c>
      <c r="E7" s="310"/>
      <c r="F7" s="310"/>
      <c r="G7" s="310"/>
      <c r="H7" s="310"/>
      <c r="I7" s="311"/>
      <c r="AF7" s="143"/>
      <c r="AG7" s="143"/>
      <c r="AI7" s="142"/>
    </row>
    <row r="8" spans="2:35" ht="17.45" customHeight="1" x14ac:dyDescent="0.35">
      <c r="B8" s="323"/>
      <c r="D8" s="312"/>
      <c r="E8" s="313"/>
      <c r="F8" s="313"/>
      <c r="G8" s="313"/>
      <c r="H8" s="313"/>
      <c r="I8" s="314"/>
      <c r="AF8" s="143"/>
      <c r="AG8" s="143"/>
      <c r="AI8" s="142"/>
    </row>
    <row r="9" spans="2:35" ht="17.45" customHeight="1" x14ac:dyDescent="0.35">
      <c r="B9" s="323"/>
      <c r="D9" s="312"/>
      <c r="E9" s="313"/>
      <c r="F9" s="313"/>
      <c r="G9" s="313"/>
      <c r="H9" s="313"/>
      <c r="I9" s="314"/>
      <c r="AF9" s="143"/>
      <c r="AG9" s="143"/>
      <c r="AI9" s="142"/>
    </row>
    <row r="10" spans="2:35" ht="17.45" customHeight="1" x14ac:dyDescent="0.35">
      <c r="B10" s="323"/>
      <c r="D10" s="312"/>
      <c r="E10" s="313"/>
      <c r="F10" s="313"/>
      <c r="G10" s="313"/>
      <c r="H10" s="313"/>
      <c r="I10" s="314"/>
      <c r="K10" s="308"/>
      <c r="L10" s="308"/>
      <c r="M10" s="308"/>
      <c r="N10" s="308"/>
      <c r="O10" s="308"/>
      <c r="P10" s="308"/>
      <c r="Q10" s="308"/>
      <c r="R10" s="308"/>
      <c r="S10" s="308"/>
      <c r="T10" s="308"/>
      <c r="U10" s="308"/>
      <c r="V10" s="308"/>
      <c r="W10" s="308"/>
      <c r="X10" s="308"/>
      <c r="Y10" s="308"/>
      <c r="Z10" s="308"/>
      <c r="AA10" s="308"/>
      <c r="AB10" s="308"/>
      <c r="AC10" s="308"/>
      <c r="AD10" s="308"/>
      <c r="AF10" s="143"/>
      <c r="AG10" s="143"/>
      <c r="AI10" s="142"/>
    </row>
    <row r="11" spans="2:35" ht="17.25" customHeight="1" x14ac:dyDescent="0.35">
      <c r="B11" s="324"/>
      <c r="D11" s="312"/>
      <c r="E11" s="313"/>
      <c r="F11" s="313"/>
      <c r="G11" s="313"/>
      <c r="H11" s="313"/>
      <c r="I11" s="314"/>
      <c r="K11" s="308"/>
      <c r="L11" s="308"/>
      <c r="M11" s="308"/>
      <c r="N11" s="308"/>
      <c r="O11" s="308"/>
      <c r="P11" s="308"/>
      <c r="Q11" s="308"/>
      <c r="R11" s="308"/>
      <c r="S11" s="308"/>
      <c r="T11" s="308"/>
      <c r="U11" s="308"/>
      <c r="V11" s="308"/>
      <c r="W11" s="308"/>
      <c r="X11" s="308"/>
      <c r="Y11" s="308"/>
      <c r="Z11" s="308"/>
      <c r="AA11" s="308"/>
      <c r="AB11" s="308"/>
      <c r="AC11" s="308"/>
      <c r="AD11" s="308"/>
      <c r="AF11" s="143"/>
      <c r="AG11" s="143"/>
      <c r="AI11" s="142"/>
    </row>
    <row r="12" spans="2:35" ht="17.45" customHeight="1" x14ac:dyDescent="0.35">
      <c r="B12" s="116"/>
      <c r="D12" s="312"/>
      <c r="E12" s="313"/>
      <c r="F12" s="313"/>
      <c r="G12" s="313"/>
      <c r="H12" s="313"/>
      <c r="I12" s="314"/>
      <c r="AF12" s="143"/>
      <c r="AG12" s="143"/>
      <c r="AI12" s="142"/>
    </row>
    <row r="13" spans="2:35" ht="30.75" customHeight="1" x14ac:dyDescent="0.35">
      <c r="B13" s="116"/>
      <c r="D13" s="312"/>
      <c r="E13" s="313"/>
      <c r="F13" s="313"/>
      <c r="G13" s="313"/>
      <c r="H13" s="313"/>
      <c r="I13" s="314"/>
      <c r="AF13" s="143"/>
      <c r="AG13" s="143"/>
      <c r="AI13" s="142"/>
    </row>
    <row r="14" spans="2:35" ht="17.45" customHeight="1" x14ac:dyDescent="0.35">
      <c r="B14" s="295" t="s">
        <v>131</v>
      </c>
      <c r="D14" s="312"/>
      <c r="E14" s="313"/>
      <c r="F14" s="313"/>
      <c r="G14" s="313"/>
      <c r="H14" s="313"/>
      <c r="I14" s="314"/>
      <c r="AF14" s="143"/>
      <c r="AG14" s="143"/>
      <c r="AI14" s="142"/>
    </row>
    <row r="15" spans="2:35" ht="17.45" customHeight="1" x14ac:dyDescent="0.35">
      <c r="B15" s="296"/>
      <c r="D15" s="312"/>
      <c r="E15" s="313"/>
      <c r="F15" s="313"/>
      <c r="G15" s="313"/>
      <c r="H15" s="313"/>
      <c r="I15" s="314"/>
      <c r="AF15" s="143"/>
      <c r="AG15" s="143"/>
      <c r="AI15" s="142"/>
    </row>
    <row r="16" spans="2:35" ht="17.45" customHeight="1" x14ac:dyDescent="0.35">
      <c r="B16" s="296"/>
      <c r="D16" s="312"/>
      <c r="E16" s="313"/>
      <c r="F16" s="313"/>
      <c r="G16" s="313"/>
      <c r="H16" s="313"/>
      <c r="I16" s="314"/>
      <c r="AF16" s="143"/>
      <c r="AG16" s="143"/>
      <c r="AI16" s="142"/>
    </row>
    <row r="17" spans="2:35" ht="17.45" customHeight="1" x14ac:dyDescent="0.35">
      <c r="B17" s="296"/>
      <c r="D17" s="312"/>
      <c r="E17" s="313"/>
      <c r="F17" s="313"/>
      <c r="G17" s="313"/>
      <c r="H17" s="313"/>
      <c r="I17" s="314"/>
      <c r="AF17" s="143"/>
      <c r="AG17" s="143"/>
      <c r="AI17" s="142"/>
    </row>
    <row r="18" spans="2:35" ht="17.45" customHeight="1" x14ac:dyDescent="0.35">
      <c r="B18" s="297"/>
      <c r="D18" s="312"/>
      <c r="E18" s="313"/>
      <c r="F18" s="313"/>
      <c r="G18" s="313"/>
      <c r="H18" s="313"/>
      <c r="I18" s="314"/>
      <c r="AF18" s="143"/>
      <c r="AG18" s="143"/>
      <c r="AI18" s="142"/>
    </row>
    <row r="19" spans="2:35" ht="17.45" customHeight="1" x14ac:dyDescent="0.35">
      <c r="B19" s="116"/>
      <c r="D19" s="312"/>
      <c r="E19" s="313"/>
      <c r="F19" s="313"/>
      <c r="G19" s="313"/>
      <c r="H19" s="313"/>
      <c r="I19" s="314"/>
      <c r="AF19" s="143"/>
      <c r="AG19" s="143"/>
      <c r="AI19" s="142"/>
    </row>
    <row r="20" spans="2:35" ht="17.45" customHeight="1" x14ac:dyDescent="0.35">
      <c r="B20" s="116"/>
      <c r="D20" s="312"/>
      <c r="E20" s="313"/>
      <c r="F20" s="313"/>
      <c r="G20" s="313"/>
      <c r="H20" s="313"/>
      <c r="I20" s="314"/>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I20" s="142"/>
    </row>
    <row r="21" spans="2:35" ht="17.45" customHeight="1" x14ac:dyDescent="0.35">
      <c r="B21" s="116"/>
      <c r="D21" s="312"/>
      <c r="E21" s="313"/>
      <c r="F21" s="313"/>
      <c r="G21" s="313"/>
      <c r="H21" s="313"/>
      <c r="I21" s="314"/>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I21" s="142"/>
    </row>
    <row r="22" spans="2:35" ht="17.45" customHeight="1" x14ac:dyDescent="0.35">
      <c r="B22" s="116"/>
      <c r="D22" s="312"/>
      <c r="E22" s="313"/>
      <c r="F22" s="313"/>
      <c r="G22" s="313"/>
      <c r="H22" s="313"/>
      <c r="I22" s="314"/>
      <c r="AI22" s="142"/>
    </row>
    <row r="23" spans="2:35" ht="17.45" customHeight="1" x14ac:dyDescent="0.35">
      <c r="B23" s="116"/>
      <c r="D23" s="312"/>
      <c r="E23" s="313"/>
      <c r="F23" s="313"/>
      <c r="G23" s="313"/>
      <c r="H23" s="313"/>
      <c r="I23" s="314"/>
      <c r="AI23" s="142"/>
    </row>
    <row r="24" spans="2:35" ht="17.45" customHeight="1" x14ac:dyDescent="0.35">
      <c r="B24" s="116"/>
      <c r="D24" s="312"/>
      <c r="E24" s="313"/>
      <c r="F24" s="313"/>
      <c r="G24" s="313"/>
      <c r="H24" s="313"/>
      <c r="I24" s="314"/>
      <c r="AI24" s="142"/>
    </row>
    <row r="25" spans="2:35" ht="17.45" customHeight="1" x14ac:dyDescent="0.35">
      <c r="B25" s="116"/>
      <c r="D25" s="312"/>
      <c r="E25" s="313"/>
      <c r="F25" s="313"/>
      <c r="G25" s="313"/>
      <c r="H25" s="313"/>
      <c r="I25" s="314"/>
      <c r="AI25" s="142"/>
    </row>
    <row r="26" spans="2:35" ht="17.45" customHeight="1" x14ac:dyDescent="0.35">
      <c r="B26" s="116"/>
      <c r="D26" s="312"/>
      <c r="E26" s="313"/>
      <c r="F26" s="313"/>
      <c r="G26" s="313"/>
      <c r="H26" s="313"/>
      <c r="I26" s="314"/>
      <c r="AI26" s="142"/>
    </row>
    <row r="27" spans="2:35" ht="17.45" customHeight="1" x14ac:dyDescent="0.35">
      <c r="B27" s="116"/>
      <c r="D27" s="312"/>
      <c r="E27" s="313"/>
      <c r="F27" s="313"/>
      <c r="G27" s="313"/>
      <c r="H27" s="313"/>
      <c r="I27" s="314"/>
      <c r="AI27" s="142"/>
    </row>
    <row r="28" spans="2:35" ht="17.45" customHeight="1" x14ac:dyDescent="0.35">
      <c r="B28" s="116"/>
      <c r="D28" s="312"/>
      <c r="E28" s="313"/>
      <c r="F28" s="313"/>
      <c r="G28" s="313"/>
      <c r="H28" s="313"/>
      <c r="I28" s="314"/>
      <c r="AI28" s="142"/>
    </row>
    <row r="29" spans="2:35" ht="17.45" customHeight="1" x14ac:dyDescent="0.35">
      <c r="B29" s="116"/>
      <c r="D29" s="312"/>
      <c r="E29" s="313"/>
      <c r="F29" s="313"/>
      <c r="G29" s="313"/>
      <c r="H29" s="313"/>
      <c r="I29" s="314"/>
      <c r="AI29" s="142"/>
    </row>
    <row r="30" spans="2:35" ht="17.45" customHeight="1" x14ac:dyDescent="0.35">
      <c r="B30" s="116"/>
      <c r="D30" s="312"/>
      <c r="E30" s="313"/>
      <c r="F30" s="313"/>
      <c r="G30" s="313"/>
      <c r="H30" s="313"/>
      <c r="I30" s="314"/>
      <c r="AI30" s="142"/>
    </row>
    <row r="31" spans="2:35" ht="17.45" customHeight="1" x14ac:dyDescent="0.35">
      <c r="B31" s="116"/>
      <c r="D31" s="312"/>
      <c r="E31" s="313"/>
      <c r="F31" s="313"/>
      <c r="G31" s="313"/>
      <c r="H31" s="313"/>
      <c r="I31" s="314"/>
      <c r="K31" s="308"/>
      <c r="L31" s="308"/>
      <c r="M31" s="308"/>
      <c r="N31" s="308"/>
      <c r="O31" s="308"/>
      <c r="P31" s="308"/>
      <c r="Q31" s="308"/>
      <c r="R31" s="308"/>
      <c r="S31" s="308"/>
      <c r="T31" s="308"/>
      <c r="U31" s="308"/>
      <c r="V31" s="308"/>
      <c r="W31" s="308"/>
      <c r="X31" s="308"/>
      <c r="Y31" s="308"/>
      <c r="Z31" s="308"/>
      <c r="AA31" s="308"/>
      <c r="AB31" s="308"/>
      <c r="AC31" s="308"/>
      <c r="AD31" s="308"/>
      <c r="AI31" s="142"/>
    </row>
    <row r="32" spans="2:35" ht="17.45" customHeight="1" x14ac:dyDescent="0.35">
      <c r="B32" s="116"/>
      <c r="D32" s="312"/>
      <c r="E32" s="313"/>
      <c r="F32" s="313"/>
      <c r="G32" s="313"/>
      <c r="H32" s="313"/>
      <c r="I32" s="314"/>
      <c r="K32" s="308"/>
      <c r="L32" s="308"/>
      <c r="M32" s="308"/>
      <c r="N32" s="308"/>
      <c r="O32" s="308"/>
      <c r="P32" s="308"/>
      <c r="Q32" s="308"/>
      <c r="R32" s="308"/>
      <c r="S32" s="308"/>
      <c r="T32" s="308"/>
      <c r="U32" s="308"/>
      <c r="V32" s="308"/>
      <c r="W32" s="308"/>
      <c r="X32" s="308"/>
      <c r="Y32" s="308"/>
      <c r="Z32" s="308"/>
      <c r="AA32" s="308"/>
      <c r="AB32" s="308"/>
      <c r="AC32" s="308"/>
      <c r="AD32" s="308"/>
      <c r="AI32" s="142"/>
    </row>
    <row r="33" spans="2:35" ht="17.45" customHeight="1" x14ac:dyDescent="0.35">
      <c r="B33" s="116"/>
      <c r="D33" s="312"/>
      <c r="E33" s="313"/>
      <c r="F33" s="313"/>
      <c r="G33" s="313"/>
      <c r="H33" s="313"/>
      <c r="I33" s="314"/>
      <c r="T33" s="290"/>
      <c r="U33" s="290"/>
      <c r="AI33" s="142"/>
    </row>
    <row r="34" spans="2:35" ht="17.45" customHeight="1" x14ac:dyDescent="0.35">
      <c r="B34" s="116"/>
      <c r="D34" s="312"/>
      <c r="E34" s="313"/>
      <c r="F34" s="313"/>
      <c r="G34" s="313"/>
      <c r="H34" s="313"/>
      <c r="I34" s="314"/>
      <c r="AI34" s="142"/>
    </row>
    <row r="35" spans="2:35" ht="17.45" customHeight="1" x14ac:dyDescent="0.35">
      <c r="B35" s="116"/>
      <c r="D35" s="312"/>
      <c r="E35" s="313"/>
      <c r="F35" s="313"/>
      <c r="G35" s="313"/>
      <c r="H35" s="313"/>
      <c r="I35" s="314"/>
      <c r="AI35" s="142"/>
    </row>
    <row r="36" spans="2:35" ht="17.45" customHeight="1" x14ac:dyDescent="0.35">
      <c r="B36" s="116"/>
      <c r="D36" s="312"/>
      <c r="E36" s="313"/>
      <c r="F36" s="313"/>
      <c r="G36" s="313"/>
      <c r="H36" s="313"/>
      <c r="I36" s="314"/>
      <c r="AI36" s="142"/>
    </row>
    <row r="37" spans="2:35" ht="17.45" customHeight="1" x14ac:dyDescent="0.35">
      <c r="B37" s="116"/>
      <c r="D37" s="312"/>
      <c r="E37" s="313"/>
      <c r="F37" s="313"/>
      <c r="G37" s="313"/>
      <c r="H37" s="313"/>
      <c r="I37" s="314"/>
      <c r="AI37" s="142"/>
    </row>
    <row r="38" spans="2:35" ht="17.45" customHeight="1" x14ac:dyDescent="0.35">
      <c r="B38" s="116"/>
      <c r="D38" s="312"/>
      <c r="E38" s="313"/>
      <c r="F38" s="313"/>
      <c r="G38" s="313"/>
      <c r="H38" s="313"/>
      <c r="I38" s="314"/>
      <c r="AI38" s="142"/>
    </row>
    <row r="39" spans="2:35" ht="17.45" customHeight="1" thickBot="1" x14ac:dyDescent="0.4">
      <c r="B39" s="116"/>
      <c r="D39" s="315"/>
      <c r="E39" s="316"/>
      <c r="F39" s="316"/>
      <c r="G39" s="316"/>
      <c r="H39" s="316"/>
      <c r="I39" s="317"/>
      <c r="AI39" s="142"/>
    </row>
    <row r="40" spans="2:35" ht="17.45" customHeight="1" x14ac:dyDescent="0.35">
      <c r="B40" s="116"/>
      <c r="AI40" s="142"/>
    </row>
    <row r="41" spans="2:35" ht="17.45" customHeight="1" x14ac:dyDescent="0.35">
      <c r="B41" s="138"/>
      <c r="C41" s="139"/>
      <c r="D41" s="304" t="s">
        <v>129</v>
      </c>
      <c r="E41" s="305"/>
      <c r="F41" s="139"/>
      <c r="G41" s="139"/>
      <c r="H41" s="298" t="s">
        <v>134</v>
      </c>
      <c r="I41" s="299"/>
      <c r="J41" s="300"/>
      <c r="K41" s="139"/>
      <c r="L41" s="139"/>
      <c r="M41" s="139"/>
      <c r="N41" s="139"/>
      <c r="O41" s="139"/>
      <c r="P41" s="139"/>
      <c r="Q41" s="139"/>
      <c r="R41" s="139"/>
      <c r="S41" s="139"/>
      <c r="T41" s="139"/>
      <c r="U41" s="139"/>
      <c r="V41" s="139"/>
      <c r="W41" s="139"/>
      <c r="X41" s="139"/>
      <c r="Y41" s="139"/>
      <c r="Z41" s="139"/>
      <c r="AA41" s="139"/>
      <c r="AB41" s="139"/>
      <c r="AC41" s="139"/>
      <c r="AD41" s="139"/>
      <c r="AE41" s="139"/>
      <c r="AF41" s="139"/>
      <c r="AG41" s="139"/>
      <c r="AH41" s="139"/>
      <c r="AI41" s="117"/>
    </row>
    <row r="42" spans="2:35" ht="17.45" customHeight="1" thickBot="1" x14ac:dyDescent="0.4">
      <c r="B42" s="135"/>
      <c r="C42" s="136"/>
      <c r="D42" s="306"/>
      <c r="E42" s="307"/>
      <c r="F42" s="136"/>
      <c r="G42" s="136"/>
      <c r="H42" s="301"/>
      <c r="I42" s="302"/>
      <c r="J42" s="303"/>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7"/>
    </row>
    <row r="43" spans="2:35" ht="17.45" customHeight="1" x14ac:dyDescent="0.35"/>
    <row r="44" spans="2:35" ht="17.45" customHeight="1" x14ac:dyDescent="0.35"/>
    <row r="45" spans="2:35" ht="17.45" customHeight="1" x14ac:dyDescent="0.35"/>
    <row r="46" spans="2:35" ht="17.45" customHeight="1" x14ac:dyDescent="0.35"/>
    <row r="47" spans="2:35" ht="17.45" customHeight="1" x14ac:dyDescent="0.35"/>
    <row r="48" spans="2:35" ht="17.45" customHeight="1" x14ac:dyDescent="0.35"/>
    <row r="49" ht="17.45" customHeight="1" x14ac:dyDescent="0.35"/>
    <row r="50" ht="17.45" customHeight="1" x14ac:dyDescent="0.35"/>
    <row r="51" ht="17.45" customHeight="1" x14ac:dyDescent="0.35"/>
    <row r="52" ht="17.45" customHeight="1" x14ac:dyDescent="0.35"/>
    <row r="53" ht="17.45" customHeight="1" x14ac:dyDescent="0.35"/>
    <row r="54" ht="17.45" customHeight="1" x14ac:dyDescent="0.35"/>
    <row r="55" ht="17.45" customHeight="1" x14ac:dyDescent="0.35"/>
    <row r="56" ht="17.45" customHeight="1" x14ac:dyDescent="0.35"/>
    <row r="57" ht="17.45" customHeight="1" x14ac:dyDescent="0.35"/>
    <row r="58" ht="17.45" customHeight="1" x14ac:dyDescent="0.35"/>
    <row r="59" ht="17.45" customHeight="1" x14ac:dyDescent="0.35"/>
    <row r="60" ht="17.45" customHeight="1" x14ac:dyDescent="0.35"/>
    <row r="61" ht="17.45" customHeight="1" x14ac:dyDescent="0.35"/>
    <row r="62" ht="17.45" customHeight="1" x14ac:dyDescent="0.35"/>
    <row r="63" ht="17.45" customHeight="1" x14ac:dyDescent="0.35"/>
    <row r="64" ht="17.45" customHeight="1" x14ac:dyDescent="0.35"/>
    <row r="65" ht="17.45" customHeight="1" x14ac:dyDescent="0.35"/>
    <row r="66" ht="17.45" customHeight="1" x14ac:dyDescent="0.35"/>
    <row r="67" ht="17.45" customHeight="1" x14ac:dyDescent="0.35"/>
    <row r="68" ht="17.45" customHeight="1" x14ac:dyDescent="0.35"/>
    <row r="69" ht="17.45" customHeight="1" x14ac:dyDescent="0.35"/>
    <row r="70" ht="17.45" customHeight="1" x14ac:dyDescent="0.35"/>
    <row r="71" ht="17.45" customHeight="1" x14ac:dyDescent="0.35"/>
    <row r="72" ht="17.45" customHeight="1" x14ac:dyDescent="0.35"/>
    <row r="73" ht="17.45" customHeight="1" x14ac:dyDescent="0.35"/>
    <row r="74" ht="17.45" customHeight="1" x14ac:dyDescent="0.35"/>
    <row r="75" ht="17.45" customHeight="1" x14ac:dyDescent="0.35"/>
    <row r="76" ht="17.45" customHeight="1" x14ac:dyDescent="0.35"/>
    <row r="77" ht="17.45" customHeight="1" x14ac:dyDescent="0.35"/>
    <row r="78" ht="17.45" customHeight="1" x14ac:dyDescent="0.35"/>
    <row r="79" ht="17.45" customHeight="1" x14ac:dyDescent="0.35"/>
    <row r="80" ht="17.45" customHeight="1" x14ac:dyDescent="0.35"/>
    <row r="81" ht="17.45" customHeight="1" x14ac:dyDescent="0.35"/>
    <row r="82" ht="17.45" customHeight="1" x14ac:dyDescent="0.35"/>
    <row r="83" ht="17.45" customHeight="1" x14ac:dyDescent="0.35"/>
    <row r="84" ht="17.45" customHeight="1" x14ac:dyDescent="0.35"/>
    <row r="85" ht="17.45" customHeight="1" x14ac:dyDescent="0.35"/>
    <row r="86" ht="17.45" customHeight="1" x14ac:dyDescent="0.35"/>
    <row r="87" ht="17.45" customHeight="1" x14ac:dyDescent="0.35"/>
    <row r="88" ht="17.45" customHeight="1" x14ac:dyDescent="0.35"/>
    <row r="89" ht="17.45" customHeight="1" x14ac:dyDescent="0.35"/>
    <row r="90" ht="17.45" customHeight="1" x14ac:dyDescent="0.35"/>
    <row r="91" ht="17.45" customHeight="1" x14ac:dyDescent="0.35"/>
    <row r="92" ht="17.45" customHeight="1" x14ac:dyDescent="0.35"/>
    <row r="93" ht="17.45" customHeight="1" x14ac:dyDescent="0.35"/>
    <row r="94" ht="17.45" customHeight="1" x14ac:dyDescent="0.35"/>
    <row r="95" ht="17.45" customHeight="1" x14ac:dyDescent="0.35"/>
    <row r="96" ht="17.45" customHeight="1" x14ac:dyDescent="0.35"/>
    <row r="97" ht="17.45" customHeight="1" x14ac:dyDescent="0.35"/>
    <row r="98" ht="17.45" customHeight="1" x14ac:dyDescent="0.35"/>
    <row r="99" ht="17.45" customHeight="1" x14ac:dyDescent="0.35"/>
    <row r="100" ht="17.45" customHeight="1" x14ac:dyDescent="0.35"/>
    <row r="101" ht="17.45" customHeight="1" x14ac:dyDescent="0.35"/>
    <row r="102" ht="17.45" customHeight="1" x14ac:dyDescent="0.35"/>
    <row r="103" ht="17.45" customHeight="1" x14ac:dyDescent="0.35"/>
    <row r="104" ht="17.45" customHeight="1" x14ac:dyDescent="0.35"/>
    <row r="105" ht="17.45" customHeight="1" x14ac:dyDescent="0.35"/>
    <row r="106" ht="17.45" customHeight="1" x14ac:dyDescent="0.35"/>
    <row r="107" ht="17.45" customHeight="1" x14ac:dyDescent="0.35"/>
    <row r="108" ht="17.45" customHeight="1" x14ac:dyDescent="0.35"/>
    <row r="109" ht="17.45" customHeight="1" x14ac:dyDescent="0.35"/>
    <row r="110" ht="17.45" customHeight="1" x14ac:dyDescent="0.35"/>
    <row r="111" ht="17.45" customHeight="1" x14ac:dyDescent="0.35"/>
    <row r="112" ht="17.45" customHeight="1" x14ac:dyDescent="0.35"/>
    <row r="113" ht="17.45" customHeight="1" x14ac:dyDescent="0.35"/>
    <row r="114" ht="17.45" customHeight="1" x14ac:dyDescent="0.35"/>
    <row r="115" ht="17.45" customHeight="1" x14ac:dyDescent="0.35"/>
    <row r="116" ht="17.45" customHeight="1" x14ac:dyDescent="0.35"/>
    <row r="117" ht="17.45" customHeight="1" x14ac:dyDescent="0.35"/>
    <row r="118" ht="17.45" customHeight="1" x14ac:dyDescent="0.35"/>
    <row r="119" ht="17.45" customHeight="1" x14ac:dyDescent="0.35"/>
    <row r="120" ht="17.45" customHeight="1" x14ac:dyDescent="0.35"/>
    <row r="121" ht="17.45" customHeight="1" x14ac:dyDescent="0.35"/>
    <row r="122" ht="17.45" customHeight="1" x14ac:dyDescent="0.35"/>
    <row r="123" ht="17.45" customHeight="1" x14ac:dyDescent="0.35"/>
    <row r="124" ht="17.45" customHeight="1" x14ac:dyDescent="0.35"/>
    <row r="125" ht="17.45" customHeight="1" x14ac:dyDescent="0.35"/>
    <row r="126" ht="17.45" customHeight="1" x14ac:dyDescent="0.35"/>
    <row r="127" ht="17.45" customHeight="1" x14ac:dyDescent="0.35"/>
    <row r="128" ht="17.45" customHeight="1" x14ac:dyDescent="0.35"/>
    <row r="129" ht="17.45" customHeight="1" x14ac:dyDescent="0.35"/>
    <row r="130" ht="17.45" customHeight="1" x14ac:dyDescent="0.35"/>
    <row r="131" ht="17.45" customHeight="1" x14ac:dyDescent="0.35"/>
    <row r="132" ht="17.45" customHeight="1" x14ac:dyDescent="0.35"/>
    <row r="133" ht="17.45" customHeight="1" x14ac:dyDescent="0.35"/>
    <row r="134" ht="17.45" customHeight="1" x14ac:dyDescent="0.35"/>
    <row r="135" ht="17.45" customHeight="1" x14ac:dyDescent="0.35"/>
    <row r="136" ht="17.45" customHeight="1" x14ac:dyDescent="0.35"/>
    <row r="137" ht="17.45" customHeight="1" x14ac:dyDescent="0.35"/>
    <row r="138" ht="17.45" customHeight="1" x14ac:dyDescent="0.35"/>
    <row r="139" ht="17.45" customHeight="1" x14ac:dyDescent="0.35"/>
    <row r="140" ht="17.45" customHeight="1" x14ac:dyDescent="0.35"/>
    <row r="141" ht="17.45" customHeight="1" x14ac:dyDescent="0.35"/>
    <row r="142" ht="17.45" customHeight="1" x14ac:dyDescent="0.35"/>
    <row r="143" ht="17.45" customHeight="1" x14ac:dyDescent="0.35"/>
    <row r="144" ht="17.45" customHeight="1" x14ac:dyDescent="0.35"/>
    <row r="145" ht="17.45" customHeight="1" x14ac:dyDescent="0.35"/>
    <row r="146" ht="17.45" customHeight="1" x14ac:dyDescent="0.35"/>
    <row r="147" ht="17.45" customHeight="1" x14ac:dyDescent="0.35"/>
    <row r="148" ht="17.45" customHeight="1" x14ac:dyDescent="0.35"/>
    <row r="149" ht="17.45" customHeight="1" x14ac:dyDescent="0.35"/>
    <row r="150" ht="17.45" customHeight="1" x14ac:dyDescent="0.35"/>
    <row r="151" ht="17.45" customHeight="1" x14ac:dyDescent="0.35"/>
    <row r="152" ht="17.45" customHeight="1" x14ac:dyDescent="0.35"/>
    <row r="153" ht="17.45" customHeight="1" x14ac:dyDescent="0.35"/>
    <row r="154" ht="17.45" customHeight="1" x14ac:dyDescent="0.35"/>
    <row r="155" ht="17.45" customHeight="1" x14ac:dyDescent="0.35"/>
    <row r="156" ht="17.45" customHeight="1" x14ac:dyDescent="0.35"/>
    <row r="157" ht="17.45" customHeight="1" x14ac:dyDescent="0.35"/>
    <row r="158" ht="17.45" customHeight="1" x14ac:dyDescent="0.35"/>
    <row r="159" ht="17.45" customHeight="1" x14ac:dyDescent="0.35"/>
    <row r="160" ht="17.45" customHeight="1" x14ac:dyDescent="0.35"/>
    <row r="161" ht="17.45" customHeight="1" x14ac:dyDescent="0.35"/>
    <row r="162" ht="17.45" customHeight="1" x14ac:dyDescent="0.35"/>
    <row r="163" ht="17.45" customHeight="1" x14ac:dyDescent="0.35"/>
    <row r="164" ht="17.45" customHeight="1" x14ac:dyDescent="0.35"/>
    <row r="165" ht="17.45" customHeight="1" x14ac:dyDescent="0.35"/>
    <row r="166" ht="17.45" customHeight="1" x14ac:dyDescent="0.35"/>
    <row r="167" ht="17.45" customHeight="1" x14ac:dyDescent="0.35"/>
    <row r="168" ht="17.45" customHeight="1" x14ac:dyDescent="0.35"/>
    <row r="169" ht="17.45" customHeight="1" x14ac:dyDescent="0.35"/>
    <row r="170" ht="17.45" customHeight="1" x14ac:dyDescent="0.35"/>
    <row r="171" ht="17.45" customHeight="1" x14ac:dyDescent="0.35"/>
    <row r="172" ht="17.45" customHeight="1" x14ac:dyDescent="0.35"/>
    <row r="173" ht="17.45" customHeight="1" x14ac:dyDescent="0.35"/>
    <row r="174" ht="17.45" customHeight="1" x14ac:dyDescent="0.35"/>
    <row r="175" ht="17.45" customHeight="1" x14ac:dyDescent="0.35"/>
    <row r="176" ht="17.45" customHeight="1" x14ac:dyDescent="0.35"/>
    <row r="177" ht="17.45" customHeight="1" x14ac:dyDescent="0.35"/>
    <row r="178" ht="17.45" customHeight="1" x14ac:dyDescent="0.35"/>
    <row r="179" ht="17.45" customHeight="1" x14ac:dyDescent="0.35"/>
    <row r="180" ht="17.45" customHeight="1" x14ac:dyDescent="0.35"/>
    <row r="181" ht="17.45" customHeight="1" x14ac:dyDescent="0.35"/>
    <row r="182" ht="17.45" customHeight="1" x14ac:dyDescent="0.35"/>
    <row r="183" ht="17.45" customHeight="1" x14ac:dyDescent="0.35"/>
    <row r="184" ht="17.45" customHeight="1" x14ac:dyDescent="0.35"/>
    <row r="185" ht="17.45" customHeight="1" x14ac:dyDescent="0.35"/>
    <row r="186" ht="17.45" customHeight="1" x14ac:dyDescent="0.35"/>
    <row r="187" ht="17.45" customHeight="1" x14ac:dyDescent="0.35"/>
    <row r="188" ht="17.45" customHeight="1" x14ac:dyDescent="0.35"/>
    <row r="189" ht="17.45" customHeight="1" x14ac:dyDescent="0.35"/>
    <row r="190" ht="17.45" customHeight="1" x14ac:dyDescent="0.35"/>
    <row r="191" ht="17.45" customHeight="1" x14ac:dyDescent="0.35"/>
    <row r="192" ht="17.45" customHeight="1" x14ac:dyDescent="0.35"/>
    <row r="193" ht="17.45" customHeight="1" x14ac:dyDescent="0.35"/>
    <row r="194" ht="17.45" customHeight="1" x14ac:dyDescent="0.35"/>
    <row r="195" ht="17.45" customHeight="1" x14ac:dyDescent="0.35"/>
    <row r="196" ht="17.45" customHeight="1" x14ac:dyDescent="0.35"/>
    <row r="197" ht="17.45" customHeight="1" x14ac:dyDescent="0.35"/>
    <row r="198" ht="17.45" customHeight="1" x14ac:dyDescent="0.35"/>
    <row r="199" ht="17.45" customHeight="1" x14ac:dyDescent="0.35"/>
    <row r="200" ht="17.45" customHeight="1" x14ac:dyDescent="0.35"/>
    <row r="201" ht="17.45" customHeight="1" x14ac:dyDescent="0.35"/>
    <row r="202" ht="17.45" customHeight="1" x14ac:dyDescent="0.35"/>
    <row r="203" ht="17.45" customHeight="1" x14ac:dyDescent="0.35"/>
    <row r="204" ht="17.45" customHeight="1" x14ac:dyDescent="0.35"/>
    <row r="205" ht="17.45" customHeight="1" x14ac:dyDescent="0.35"/>
    <row r="206" ht="17.45" customHeight="1" x14ac:dyDescent="0.35"/>
    <row r="207" ht="17.45" customHeight="1" x14ac:dyDescent="0.35"/>
    <row r="208" ht="17.45" customHeight="1" x14ac:dyDescent="0.35"/>
    <row r="209" ht="17.45" customHeight="1" x14ac:dyDescent="0.35"/>
    <row r="210" ht="17.45" customHeight="1" x14ac:dyDescent="0.35"/>
    <row r="211" ht="17.45" customHeight="1" x14ac:dyDescent="0.35"/>
    <row r="212" ht="17.45" customHeight="1" x14ac:dyDescent="0.35"/>
    <row r="213" ht="17.45" customHeight="1" x14ac:dyDescent="0.35"/>
    <row r="214" ht="17.45" customHeight="1" x14ac:dyDescent="0.35"/>
    <row r="215" ht="17.45" customHeight="1" x14ac:dyDescent="0.35"/>
    <row r="216" ht="17.45" customHeight="1" x14ac:dyDescent="0.35"/>
    <row r="217" ht="17.45" customHeight="1" x14ac:dyDescent="0.35"/>
    <row r="218" ht="17.45" customHeight="1" x14ac:dyDescent="0.35"/>
    <row r="219" ht="17.45" customHeight="1" x14ac:dyDescent="0.35"/>
    <row r="220" ht="17.45" customHeight="1" x14ac:dyDescent="0.35"/>
    <row r="221" ht="17.45" customHeight="1" x14ac:dyDescent="0.35"/>
    <row r="222" ht="17.45" customHeight="1" x14ac:dyDescent="0.35"/>
    <row r="223" ht="17.45" customHeight="1" x14ac:dyDescent="0.35"/>
    <row r="224" ht="17.45" customHeight="1" x14ac:dyDescent="0.35"/>
    <row r="225" ht="17.45" customHeight="1" x14ac:dyDescent="0.35"/>
    <row r="226" ht="17.45" customHeight="1" x14ac:dyDescent="0.35"/>
    <row r="227" ht="17.45" customHeight="1" x14ac:dyDescent="0.35"/>
    <row r="228" ht="17.45" customHeight="1" x14ac:dyDescent="0.35"/>
    <row r="229" ht="17.45" customHeight="1" x14ac:dyDescent="0.35"/>
    <row r="230" ht="17.45" customHeight="1" x14ac:dyDescent="0.35"/>
    <row r="231" ht="17.45" customHeight="1" x14ac:dyDescent="0.35"/>
    <row r="232" ht="17.45" customHeight="1" x14ac:dyDescent="0.35"/>
    <row r="233" ht="17.45" customHeight="1" x14ac:dyDescent="0.35"/>
    <row r="234" ht="17.45" customHeight="1" x14ac:dyDescent="0.35"/>
    <row r="235" ht="17.45" customHeight="1" x14ac:dyDescent="0.35"/>
    <row r="236" ht="17.45" customHeight="1" x14ac:dyDescent="0.35"/>
    <row r="237" ht="17.45" customHeight="1" x14ac:dyDescent="0.35"/>
    <row r="238" ht="17.45" customHeight="1" x14ac:dyDescent="0.35"/>
    <row r="239" ht="17.45" customHeight="1" x14ac:dyDescent="0.35"/>
    <row r="240" ht="17.45" customHeight="1" x14ac:dyDescent="0.35"/>
    <row r="241" ht="17.45" customHeight="1" x14ac:dyDescent="0.35"/>
    <row r="242" ht="17.45" customHeight="1" x14ac:dyDescent="0.35"/>
    <row r="243" ht="17.45" customHeight="1" x14ac:dyDescent="0.35"/>
    <row r="244" ht="17.45" customHeight="1" x14ac:dyDescent="0.35"/>
    <row r="245" ht="17.45" customHeight="1" x14ac:dyDescent="0.35"/>
    <row r="246" ht="17.45" customHeight="1" x14ac:dyDescent="0.35"/>
    <row r="247" ht="17.45" customHeight="1" x14ac:dyDescent="0.35"/>
    <row r="248" ht="17.45" customHeight="1" x14ac:dyDescent="0.35"/>
    <row r="249" ht="17.45" customHeight="1" x14ac:dyDescent="0.35"/>
    <row r="250" ht="17.45" customHeight="1" x14ac:dyDescent="0.35"/>
    <row r="251" ht="17.45" customHeight="1" x14ac:dyDescent="0.35"/>
    <row r="252" ht="17.45" customHeight="1" x14ac:dyDescent="0.35"/>
    <row r="253" ht="17.45" customHeight="1" x14ac:dyDescent="0.35"/>
    <row r="254" ht="17.45" customHeight="1" x14ac:dyDescent="0.35"/>
    <row r="255" ht="17.45" customHeight="1" x14ac:dyDescent="0.35"/>
    <row r="256" ht="17.45" customHeight="1" x14ac:dyDescent="0.35"/>
    <row r="257" ht="17.45" customHeight="1" x14ac:dyDescent="0.35"/>
    <row r="258" ht="17.45" customHeight="1" x14ac:dyDescent="0.35"/>
    <row r="259" ht="17.45" customHeight="1" x14ac:dyDescent="0.35"/>
    <row r="260" ht="17.45" customHeight="1" x14ac:dyDescent="0.35"/>
    <row r="261" ht="17.45" customHeight="1" x14ac:dyDescent="0.35"/>
    <row r="262" ht="17.45" customHeight="1" x14ac:dyDescent="0.35"/>
    <row r="263" ht="17.45" customHeight="1" x14ac:dyDescent="0.35"/>
    <row r="264" ht="17.45" customHeight="1" x14ac:dyDescent="0.35"/>
    <row r="265" ht="17.45" customHeight="1" x14ac:dyDescent="0.35"/>
    <row r="266" ht="17.45" customHeight="1" x14ac:dyDescent="0.35"/>
    <row r="267" ht="17.45" customHeight="1" x14ac:dyDescent="0.35"/>
    <row r="268" ht="17.45" customHeight="1" x14ac:dyDescent="0.35"/>
    <row r="269" ht="17.45" customHeight="1" x14ac:dyDescent="0.35"/>
    <row r="270" ht="17.45" customHeight="1" x14ac:dyDescent="0.35"/>
    <row r="271" ht="17.45" customHeight="1" x14ac:dyDescent="0.35"/>
    <row r="272" ht="17.45" customHeight="1" x14ac:dyDescent="0.35"/>
    <row r="273" ht="17.45" customHeight="1" x14ac:dyDescent="0.35"/>
    <row r="274" ht="17.45" customHeight="1" x14ac:dyDescent="0.35"/>
    <row r="275" ht="17.45" customHeight="1" x14ac:dyDescent="0.35"/>
    <row r="276" ht="17.45" customHeight="1" x14ac:dyDescent="0.35"/>
    <row r="277" ht="17.45" customHeight="1" x14ac:dyDescent="0.35"/>
    <row r="278" ht="17.45" customHeight="1" x14ac:dyDescent="0.35"/>
    <row r="279" ht="17.45" customHeight="1" x14ac:dyDescent="0.35"/>
    <row r="280" ht="17.45" customHeight="1" x14ac:dyDescent="0.35"/>
    <row r="281" ht="17.45" customHeight="1" x14ac:dyDescent="0.35"/>
    <row r="282" ht="17.45" customHeight="1" x14ac:dyDescent="0.35"/>
    <row r="283" ht="17.45" customHeight="1" x14ac:dyDescent="0.35"/>
    <row r="284" ht="17.45" customHeight="1" x14ac:dyDescent="0.35"/>
    <row r="285" ht="17.45" customHeight="1" x14ac:dyDescent="0.35"/>
    <row r="286" ht="17.45" customHeight="1" x14ac:dyDescent="0.35"/>
    <row r="287" ht="17.45" customHeight="1" x14ac:dyDescent="0.35"/>
    <row r="288" ht="17.45" customHeight="1" x14ac:dyDescent="0.35"/>
    <row r="289" ht="17.45" customHeight="1" x14ac:dyDescent="0.35"/>
    <row r="290" ht="17.45" customHeight="1" x14ac:dyDescent="0.35"/>
    <row r="291" ht="17.45" customHeight="1" x14ac:dyDescent="0.35"/>
    <row r="292" ht="17.45" customHeight="1" x14ac:dyDescent="0.35"/>
    <row r="293" ht="17.45" customHeight="1" x14ac:dyDescent="0.35"/>
    <row r="294" ht="17.45" customHeight="1" x14ac:dyDescent="0.35"/>
    <row r="295" ht="17.45" customHeight="1" x14ac:dyDescent="0.35"/>
    <row r="296" ht="17.45" customHeight="1" x14ac:dyDescent="0.35"/>
    <row r="297" ht="17.45" customHeight="1" x14ac:dyDescent="0.35"/>
    <row r="298" ht="17.45" customHeight="1" x14ac:dyDescent="0.35"/>
    <row r="299" ht="17.45" customHeight="1" x14ac:dyDescent="0.35"/>
    <row r="300" ht="17.45" customHeight="1" x14ac:dyDescent="0.35"/>
    <row r="301" ht="17.45" customHeight="1" x14ac:dyDescent="0.35"/>
    <row r="302" ht="17.45" customHeight="1" x14ac:dyDescent="0.35"/>
    <row r="303" ht="17.45" customHeight="1" x14ac:dyDescent="0.35"/>
    <row r="304" ht="17.45" customHeight="1" x14ac:dyDescent="0.35"/>
    <row r="305" ht="17.45" customHeight="1" x14ac:dyDescent="0.35"/>
    <row r="306" ht="17.45" customHeight="1" x14ac:dyDescent="0.35"/>
    <row r="307" ht="17.45" customHeight="1" x14ac:dyDescent="0.35"/>
    <row r="308" ht="17.45" customHeight="1" x14ac:dyDescent="0.35"/>
    <row r="309" ht="17.45" customHeight="1" x14ac:dyDescent="0.35"/>
    <row r="310" ht="17.45" customHeight="1" x14ac:dyDescent="0.35"/>
    <row r="311" ht="17.45" customHeight="1" x14ac:dyDescent="0.35"/>
    <row r="312" ht="17.45" customHeight="1" x14ac:dyDescent="0.35"/>
    <row r="313" ht="17.45" customHeight="1" x14ac:dyDescent="0.35"/>
    <row r="314" ht="17.45" customHeight="1" x14ac:dyDescent="0.35"/>
    <row r="315" ht="17.45" customHeight="1" x14ac:dyDescent="0.35"/>
    <row r="316" ht="17.45" customHeight="1" x14ac:dyDescent="0.35"/>
    <row r="317" ht="17.45" customHeight="1" x14ac:dyDescent="0.35"/>
    <row r="318" ht="17.45" customHeight="1" x14ac:dyDescent="0.35"/>
    <row r="319" ht="17.45" customHeight="1" x14ac:dyDescent="0.35"/>
    <row r="320" ht="17.45" customHeight="1" x14ac:dyDescent="0.35"/>
    <row r="321" ht="17.45" customHeight="1" x14ac:dyDescent="0.35"/>
    <row r="322" ht="17.45" customHeight="1" x14ac:dyDescent="0.35"/>
    <row r="323" ht="17.45" customHeight="1" x14ac:dyDescent="0.35"/>
    <row r="324" ht="17.45" customHeight="1" x14ac:dyDescent="0.35"/>
    <row r="325" ht="17.45" customHeight="1" x14ac:dyDescent="0.35"/>
    <row r="326" ht="17.45" customHeight="1" x14ac:dyDescent="0.35"/>
    <row r="327" ht="17.45" customHeight="1" x14ac:dyDescent="0.35"/>
    <row r="328" ht="17.45" customHeight="1" x14ac:dyDescent="0.35"/>
    <row r="329" ht="17.45" customHeight="1" x14ac:dyDescent="0.35"/>
    <row r="330" ht="17.45" customHeight="1" x14ac:dyDescent="0.35"/>
    <row r="331" ht="17.45" customHeight="1" x14ac:dyDescent="0.35"/>
    <row r="332" ht="17.45" customHeight="1" x14ac:dyDescent="0.35"/>
    <row r="333" ht="17.45" customHeight="1" x14ac:dyDescent="0.35"/>
    <row r="334" ht="17.45" customHeight="1" x14ac:dyDescent="0.35"/>
    <row r="335" ht="17.45" customHeight="1" x14ac:dyDescent="0.35"/>
    <row r="336" ht="17.45" customHeight="1" x14ac:dyDescent="0.35"/>
    <row r="337" ht="17.45" customHeight="1" x14ac:dyDescent="0.35"/>
    <row r="338" ht="17.45" customHeight="1" x14ac:dyDescent="0.35"/>
    <row r="339" ht="17.45" customHeight="1" x14ac:dyDescent="0.35"/>
    <row r="340" ht="17.45" customHeight="1" x14ac:dyDescent="0.35"/>
    <row r="341" ht="17.45" customHeight="1" x14ac:dyDescent="0.35"/>
    <row r="342" ht="17.45" customHeight="1" x14ac:dyDescent="0.35"/>
    <row r="343" ht="17.45" customHeight="1" x14ac:dyDescent="0.35"/>
    <row r="344" ht="17.45" customHeight="1" x14ac:dyDescent="0.35"/>
    <row r="345" ht="17.45" customHeight="1" x14ac:dyDescent="0.35"/>
    <row r="346" ht="17.45" customHeight="1" x14ac:dyDescent="0.35"/>
    <row r="347" ht="17.45" customHeight="1" x14ac:dyDescent="0.35"/>
    <row r="348" ht="17.45" customHeight="1" x14ac:dyDescent="0.35"/>
    <row r="349" ht="17.45" customHeight="1" x14ac:dyDescent="0.35"/>
    <row r="350" ht="17.45" customHeight="1" x14ac:dyDescent="0.35"/>
    <row r="351" ht="17.45" customHeight="1" x14ac:dyDescent="0.35"/>
    <row r="352" ht="17.45" customHeight="1" x14ac:dyDescent="0.35"/>
    <row r="353" ht="17.45" customHeight="1" x14ac:dyDescent="0.35"/>
    <row r="354" ht="17.45" customHeight="1" x14ac:dyDescent="0.35"/>
    <row r="355" ht="17.45" customHeight="1" x14ac:dyDescent="0.35"/>
    <row r="356" ht="17.45" customHeight="1" x14ac:dyDescent="0.35"/>
    <row r="357" ht="17.45" customHeight="1" x14ac:dyDescent="0.35"/>
    <row r="358" ht="17.45" customHeight="1" x14ac:dyDescent="0.35"/>
    <row r="359" ht="17.45" customHeight="1" x14ac:dyDescent="0.35"/>
    <row r="360" ht="17.45" customHeight="1" x14ac:dyDescent="0.35"/>
    <row r="361" ht="17.45" customHeight="1" x14ac:dyDescent="0.35"/>
    <row r="362" ht="17.45" customHeight="1" x14ac:dyDescent="0.35"/>
    <row r="363" ht="17.45" customHeight="1" x14ac:dyDescent="0.35"/>
    <row r="364" ht="17.45" customHeight="1" x14ac:dyDescent="0.35"/>
    <row r="365" ht="17.45" customHeight="1" x14ac:dyDescent="0.35"/>
    <row r="366" ht="17.45" customHeight="1" x14ac:dyDescent="0.35"/>
    <row r="367" ht="17.45" customHeight="1" x14ac:dyDescent="0.35"/>
    <row r="368" ht="17.45" customHeight="1" x14ac:dyDescent="0.35"/>
    <row r="369" ht="17.45" customHeight="1" x14ac:dyDescent="0.35"/>
    <row r="370" ht="17.45" customHeight="1" x14ac:dyDescent="0.35"/>
    <row r="371" ht="17.45" customHeight="1" x14ac:dyDescent="0.35"/>
    <row r="372" ht="17.45" customHeight="1" x14ac:dyDescent="0.35"/>
    <row r="373" ht="17.45" customHeight="1" x14ac:dyDescent="0.35"/>
    <row r="374" ht="17.45" customHeight="1" x14ac:dyDescent="0.35"/>
    <row r="375" ht="17.45" customHeight="1" x14ac:dyDescent="0.35"/>
    <row r="376" ht="17.45" customHeight="1" x14ac:dyDescent="0.35"/>
    <row r="377" ht="17.45" customHeight="1" x14ac:dyDescent="0.35"/>
    <row r="378" ht="17.45" customHeight="1" x14ac:dyDescent="0.35"/>
    <row r="379" ht="17.45" customHeight="1" x14ac:dyDescent="0.35"/>
    <row r="380" ht="17.45" customHeight="1" x14ac:dyDescent="0.35"/>
    <row r="381" ht="17.45" customHeight="1" x14ac:dyDescent="0.35"/>
    <row r="382" ht="17.45" customHeight="1" x14ac:dyDescent="0.35"/>
    <row r="383" ht="17.45" customHeight="1" x14ac:dyDescent="0.35"/>
    <row r="384" ht="17.45" customHeight="1" x14ac:dyDescent="0.35"/>
    <row r="385" ht="17.45" customHeight="1" x14ac:dyDescent="0.35"/>
    <row r="386" ht="17.45" customHeight="1" x14ac:dyDescent="0.35"/>
    <row r="387" ht="17.45" customHeight="1" x14ac:dyDescent="0.35"/>
    <row r="388" ht="17.45" customHeight="1" x14ac:dyDescent="0.35"/>
    <row r="389" ht="17.45" customHeight="1" x14ac:dyDescent="0.35"/>
    <row r="390" ht="17.45" customHeight="1" x14ac:dyDescent="0.35"/>
    <row r="391" ht="17.45" customHeight="1" x14ac:dyDescent="0.35"/>
    <row r="392" ht="17.45" customHeight="1" x14ac:dyDescent="0.35"/>
    <row r="393" ht="17.45" customHeight="1" x14ac:dyDescent="0.35"/>
    <row r="394" ht="17.45" customHeight="1" x14ac:dyDescent="0.35"/>
    <row r="395" ht="17.45" customHeight="1" x14ac:dyDescent="0.35"/>
    <row r="396" ht="17.45" customHeight="1" x14ac:dyDescent="0.35"/>
    <row r="397" ht="17.45" customHeight="1" x14ac:dyDescent="0.35"/>
    <row r="398" ht="17.45" customHeight="1" x14ac:dyDescent="0.35"/>
    <row r="399" ht="17.45" customHeight="1" x14ac:dyDescent="0.35"/>
    <row r="400" ht="17.45" customHeight="1" x14ac:dyDescent="0.35"/>
    <row r="401" ht="17.45" customHeight="1" x14ac:dyDescent="0.35"/>
    <row r="402" ht="17.45" customHeight="1" x14ac:dyDescent="0.35"/>
    <row r="403" ht="17.45" customHeight="1" x14ac:dyDescent="0.35"/>
    <row r="404" ht="17.45" customHeight="1" x14ac:dyDescent="0.35"/>
    <row r="405" ht="17.45" customHeight="1" x14ac:dyDescent="0.35"/>
    <row r="406" ht="17.45" customHeight="1" x14ac:dyDescent="0.35"/>
    <row r="407" ht="17.45" customHeight="1" x14ac:dyDescent="0.35"/>
    <row r="408" ht="17.45" customHeight="1" x14ac:dyDescent="0.35"/>
    <row r="409" ht="17.45" customHeight="1" x14ac:dyDescent="0.35"/>
    <row r="410" ht="17.45" customHeight="1" x14ac:dyDescent="0.35"/>
    <row r="411" ht="17.45" customHeight="1" x14ac:dyDescent="0.35"/>
    <row r="412" ht="17.45" customHeight="1" x14ac:dyDescent="0.35"/>
    <row r="413" ht="17.45" customHeight="1" x14ac:dyDescent="0.35"/>
    <row r="414" ht="17.45" customHeight="1" x14ac:dyDescent="0.35"/>
    <row r="415" ht="17.45" customHeight="1" x14ac:dyDescent="0.35"/>
    <row r="416" ht="17.45" customHeight="1" x14ac:dyDescent="0.35"/>
    <row r="417" ht="17.45" customHeight="1" x14ac:dyDescent="0.35"/>
    <row r="418" ht="17.45" customHeight="1" x14ac:dyDescent="0.35"/>
    <row r="419" ht="17.45" customHeight="1" x14ac:dyDescent="0.35"/>
    <row r="420" ht="17.45" customHeight="1" x14ac:dyDescent="0.35"/>
    <row r="421" ht="17.45" customHeight="1" x14ac:dyDescent="0.35"/>
    <row r="422" ht="17.45" customHeight="1" x14ac:dyDescent="0.35"/>
    <row r="423" ht="17.45" customHeight="1" x14ac:dyDescent="0.35"/>
    <row r="424" ht="17.45" customHeight="1" x14ac:dyDescent="0.35"/>
    <row r="425" ht="17.45" customHeight="1" x14ac:dyDescent="0.35"/>
    <row r="426" ht="17.45" customHeight="1" x14ac:dyDescent="0.35"/>
    <row r="427" ht="17.45" customHeight="1" x14ac:dyDescent="0.35"/>
    <row r="428" ht="17.45" customHeight="1" x14ac:dyDescent="0.35"/>
    <row r="429" ht="17.45" customHeight="1" x14ac:dyDescent="0.35"/>
    <row r="430" ht="17.45" customHeight="1" x14ac:dyDescent="0.35"/>
    <row r="431" ht="17.45" customHeight="1" x14ac:dyDescent="0.35"/>
    <row r="432" ht="17.45" customHeight="1" x14ac:dyDescent="0.35"/>
    <row r="433" ht="17.45" customHeight="1" x14ac:dyDescent="0.35"/>
    <row r="434" ht="17.45" customHeight="1" x14ac:dyDescent="0.35"/>
    <row r="435" ht="17.45" customHeight="1" x14ac:dyDescent="0.35"/>
    <row r="436" ht="17.45" customHeight="1" x14ac:dyDescent="0.35"/>
    <row r="437" ht="17.45" customHeight="1" x14ac:dyDescent="0.35"/>
    <row r="438" ht="17.45" customHeight="1" x14ac:dyDescent="0.35"/>
    <row r="439" ht="17.45" customHeight="1" x14ac:dyDescent="0.35"/>
    <row r="440" ht="17.45" customHeight="1" x14ac:dyDescent="0.35"/>
    <row r="441" ht="17.45" customHeight="1" x14ac:dyDescent="0.35"/>
    <row r="442" ht="17.45" customHeight="1" x14ac:dyDescent="0.35"/>
    <row r="443" ht="17.45" customHeight="1" x14ac:dyDescent="0.35"/>
    <row r="444" ht="17.45" customHeight="1" x14ac:dyDescent="0.35"/>
    <row r="445" ht="17.45" customHeight="1" x14ac:dyDescent="0.35"/>
    <row r="446" ht="17.45" customHeight="1" x14ac:dyDescent="0.35"/>
    <row r="447" ht="17.45" customHeight="1" x14ac:dyDescent="0.35"/>
    <row r="448" ht="17.45" customHeight="1" x14ac:dyDescent="0.35"/>
    <row r="449" ht="17.45" customHeight="1" x14ac:dyDescent="0.35"/>
    <row r="450" ht="17.45" customHeight="1" x14ac:dyDescent="0.35"/>
    <row r="451" ht="17.45" customHeight="1" x14ac:dyDescent="0.35"/>
    <row r="452" ht="17.45" customHeight="1" x14ac:dyDescent="0.35"/>
    <row r="453" ht="17.45" customHeight="1" x14ac:dyDescent="0.35"/>
    <row r="454" ht="17.45" customHeight="1" x14ac:dyDescent="0.35"/>
    <row r="455" ht="17.45" customHeight="1" x14ac:dyDescent="0.35"/>
    <row r="456" ht="17.45" customHeight="1" x14ac:dyDescent="0.35"/>
    <row r="457" ht="17.45" customHeight="1" x14ac:dyDescent="0.35"/>
    <row r="458" ht="17.45" customHeight="1" x14ac:dyDescent="0.35"/>
    <row r="459" ht="17.45" customHeight="1" x14ac:dyDescent="0.35"/>
    <row r="460" ht="17.45" customHeight="1" x14ac:dyDescent="0.35"/>
    <row r="461" ht="17.45" customHeight="1" x14ac:dyDescent="0.35"/>
    <row r="462" ht="17.45" customHeight="1" x14ac:dyDescent="0.35"/>
    <row r="463" ht="17.45" customHeight="1" x14ac:dyDescent="0.35"/>
    <row r="464" ht="17.45" customHeight="1" x14ac:dyDescent="0.35"/>
    <row r="465" ht="17.45" customHeight="1" x14ac:dyDescent="0.35"/>
    <row r="466" ht="17.45" customHeight="1" x14ac:dyDescent="0.35"/>
    <row r="467" ht="17.45" customHeight="1" x14ac:dyDescent="0.35"/>
    <row r="468" ht="17.45" customHeight="1" x14ac:dyDescent="0.35"/>
    <row r="469" ht="17.45" customHeight="1" x14ac:dyDescent="0.35"/>
    <row r="470" ht="17.45" customHeight="1" x14ac:dyDescent="0.35"/>
    <row r="471" ht="17.45" customHeight="1" x14ac:dyDescent="0.35"/>
    <row r="472" ht="17.45" customHeight="1" x14ac:dyDescent="0.35"/>
    <row r="473" ht="17.45" customHeight="1" x14ac:dyDescent="0.35"/>
    <row r="474" ht="17.45" customHeight="1" x14ac:dyDescent="0.35"/>
    <row r="475" ht="17.45" customHeight="1" x14ac:dyDescent="0.35"/>
    <row r="476" ht="17.45" customHeight="1" x14ac:dyDescent="0.35"/>
    <row r="477" ht="17.45" customHeight="1" x14ac:dyDescent="0.35"/>
    <row r="478" ht="17.45" customHeight="1" x14ac:dyDescent="0.35"/>
    <row r="479" ht="17.45" customHeight="1" x14ac:dyDescent="0.35"/>
    <row r="480" ht="17.45" customHeight="1" x14ac:dyDescent="0.35"/>
    <row r="481" ht="17.45" customHeight="1" x14ac:dyDescent="0.35"/>
    <row r="482" ht="17.45" customHeight="1" x14ac:dyDescent="0.35"/>
    <row r="483" ht="17.45" customHeight="1" x14ac:dyDescent="0.35"/>
    <row r="484" ht="17.45" customHeight="1" x14ac:dyDescent="0.35"/>
    <row r="485" ht="17.45" customHeight="1" x14ac:dyDescent="0.35"/>
    <row r="486" ht="17.45" customHeight="1" x14ac:dyDescent="0.35"/>
    <row r="487" ht="17.45" customHeight="1" x14ac:dyDescent="0.35"/>
    <row r="488" ht="17.45" customHeight="1" x14ac:dyDescent="0.35"/>
    <row r="489" ht="17.45" customHeight="1" x14ac:dyDescent="0.35"/>
    <row r="490" ht="17.45" customHeight="1" x14ac:dyDescent="0.35"/>
    <row r="491" ht="17.45" customHeight="1" x14ac:dyDescent="0.35"/>
    <row r="492" ht="17.45" customHeight="1" x14ac:dyDescent="0.35"/>
    <row r="493" ht="17.45" customHeight="1" x14ac:dyDescent="0.35"/>
    <row r="494" ht="17.45" customHeight="1" x14ac:dyDescent="0.35"/>
    <row r="495" ht="17.45" customHeight="1" x14ac:dyDescent="0.35"/>
    <row r="496" ht="17.45" customHeight="1" x14ac:dyDescent="0.35"/>
    <row r="497" ht="17.45" customHeight="1" x14ac:dyDescent="0.35"/>
    <row r="498" ht="17.45" customHeight="1" x14ac:dyDescent="0.35"/>
    <row r="499" ht="17.45" customHeight="1" x14ac:dyDescent="0.35"/>
    <row r="500" ht="17.45" customHeight="1" x14ac:dyDescent="0.35"/>
    <row r="501" ht="17.45" customHeight="1" x14ac:dyDescent="0.35"/>
    <row r="502" ht="17.45" customHeight="1" x14ac:dyDescent="0.35"/>
    <row r="503" ht="17.45" customHeight="1" x14ac:dyDescent="0.35"/>
  </sheetData>
  <sheetProtection algorithmName="SHA-512" hashValue="7vs8Dzj13Lakn/4dKcZyhKGc2FcaqxQdsa58JtKjowBp/5dosTm+Jb6ZITzUfTkYjwUS9f/1KVlBZbgCxZIwQw==" saltValue="I0vjv3DZ6WuB9PHu2Yq9YQ==" spinCount="100000" sheet="1" objects="1" scenarios="1" selectLockedCells="1" selectUnlockedCells="1"/>
  <mergeCells count="11">
    <mergeCell ref="D41:E42"/>
    <mergeCell ref="H41:J42"/>
    <mergeCell ref="B2:AI3"/>
    <mergeCell ref="K10:AD11"/>
    <mergeCell ref="K31:AD32"/>
    <mergeCell ref="D7:I39"/>
    <mergeCell ref="I5:J5"/>
    <mergeCell ref="T33:U33"/>
    <mergeCell ref="AF5:AG6"/>
    <mergeCell ref="B7:B11"/>
    <mergeCell ref="B14:B1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FCE1B-CD29-4E47-9A9E-022DD008CACA}">
  <sheetPr codeName="Sheet4"/>
  <dimension ref="B1:FI357"/>
  <sheetViews>
    <sheetView showGridLines="0" topLeftCell="O6" zoomScale="70" zoomScaleNormal="70" workbookViewId="0">
      <selection activeCell="N8" sqref="N8:T13"/>
    </sheetView>
  </sheetViews>
  <sheetFormatPr defaultColWidth="9.1328125" defaultRowHeight="13.15" outlineLevelCol="1" x14ac:dyDescent="0.4"/>
  <cols>
    <col min="1" max="1" width="9.1328125" style="4"/>
    <col min="2" max="2" width="20.53125" style="4" customWidth="1"/>
    <col min="3" max="3" width="9.1328125" style="4"/>
    <col min="4" max="4" width="39.33203125" style="4" customWidth="1"/>
    <col min="5" max="5" width="9.1328125" style="4"/>
    <col min="6" max="6" width="33.265625" style="4" customWidth="1"/>
    <col min="7" max="7" width="33.265625" style="4" bestFit="1" customWidth="1"/>
    <col min="8" max="8" width="12.86328125" style="4" bestFit="1" customWidth="1"/>
    <col min="9" max="9" width="5.59765625" style="4" customWidth="1"/>
    <col min="10" max="10" width="14.6640625" style="4" bestFit="1" customWidth="1"/>
    <col min="11" max="11" width="5.59765625" style="4" customWidth="1"/>
    <col min="12" max="12" width="13.6640625" style="4" bestFit="1" customWidth="1"/>
    <col min="13" max="13" width="5.59765625" style="4" customWidth="1"/>
    <col min="14" max="14" width="13" style="4" bestFit="1" customWidth="1"/>
    <col min="15" max="15" width="9.1328125" style="4" customWidth="1"/>
    <col min="16" max="16" width="8.1328125" style="6" customWidth="1" outlineLevel="1"/>
    <col min="17" max="17" width="25.06640625" style="4" bestFit="1" customWidth="1" outlineLevel="1"/>
    <col min="18" max="18" width="26" style="4" bestFit="1" customWidth="1" outlineLevel="1"/>
    <col min="19" max="19" width="30.59765625" style="4" bestFit="1" customWidth="1" outlineLevel="1"/>
    <col min="20" max="20" width="25.6640625" style="4" bestFit="1" customWidth="1" outlineLevel="1"/>
    <col min="21" max="21" width="26.59765625" style="4" bestFit="1" customWidth="1" outlineLevel="1"/>
    <col min="22" max="22" width="31.19921875" style="4" bestFit="1" customWidth="1" outlineLevel="1"/>
    <col min="23" max="23" width="27.73046875" style="4" bestFit="1" customWidth="1" outlineLevel="1"/>
    <col min="24" max="24" width="28.796875" style="4" bestFit="1" customWidth="1" outlineLevel="1"/>
    <col min="25" max="25" width="33.3984375" style="4" bestFit="1" customWidth="1" outlineLevel="1"/>
    <col min="26" max="26" width="18.6640625" style="4" bestFit="1" customWidth="1" outlineLevel="1"/>
    <col min="27" max="27" width="30.73046875" style="4" bestFit="1" customWidth="1" outlineLevel="1"/>
    <col min="28" max="28" width="27.19921875" style="4" bestFit="1" customWidth="1" outlineLevel="1"/>
    <col min="29" max="29" width="28.33203125" style="4" bestFit="1" customWidth="1" outlineLevel="1"/>
    <col min="30" max="30" width="29.3984375" style="4" bestFit="1" customWidth="1" outlineLevel="1"/>
    <col min="31" max="31" width="34" style="4" bestFit="1" customWidth="1" outlineLevel="1"/>
    <col min="32" max="32" width="19.19921875" style="4" bestFit="1" customWidth="1" outlineLevel="1"/>
    <col min="33" max="33" width="31.33203125" style="4" bestFit="1" customWidth="1" outlineLevel="1"/>
    <col min="34" max="34" width="27.796875" style="4" bestFit="1" customWidth="1" outlineLevel="1"/>
    <col min="35" max="35" width="16.796875" style="4" bestFit="1" customWidth="1" outlineLevel="1"/>
    <col min="36" max="36" width="16.9296875" style="4" bestFit="1" customWidth="1" outlineLevel="1"/>
    <col min="37" max="37" width="28.9296875" style="4" bestFit="1" customWidth="1" outlineLevel="1"/>
    <col min="38" max="38" width="29.06640625" style="4" bestFit="1" customWidth="1" outlineLevel="1"/>
    <col min="39" max="39" width="25.3984375" style="4" bestFit="1" customWidth="1" outlineLevel="1"/>
    <col min="40" max="40" width="25.53125" style="4" bestFit="1" customWidth="1" outlineLevel="1"/>
    <col min="41" max="41" width="16.9296875" style="4" bestFit="1" customWidth="1" outlineLevel="1"/>
    <col min="42" max="42" width="17.06640625" style="4" bestFit="1" customWidth="1" outlineLevel="1"/>
    <col min="43" max="43" width="29.06640625" style="4" bestFit="1" customWidth="1" outlineLevel="1"/>
    <col min="44" max="44" width="29.1328125" style="4" bestFit="1" customWidth="1" outlineLevel="1"/>
    <col min="45" max="45" width="25.53125" style="4" bestFit="1" customWidth="1" outlineLevel="1"/>
    <col min="46" max="46" width="25.6640625" style="4" bestFit="1" customWidth="1" outlineLevel="1"/>
    <col min="47" max="47" width="26" style="4" bestFit="1" customWidth="1" outlineLevel="1"/>
    <col min="48" max="48" width="26.1328125" style="4" bestFit="1" customWidth="1" outlineLevel="1"/>
    <col min="49" max="49" width="27" style="4" bestFit="1" customWidth="1" outlineLevel="1"/>
    <col min="50" max="50" width="27.06640625" style="4" bestFit="1" customWidth="1" outlineLevel="1"/>
    <col min="51" max="51" width="31.59765625" style="4" bestFit="1" customWidth="1" outlineLevel="1"/>
    <col min="52" max="52" width="31.73046875" style="4" bestFit="1" customWidth="1" outlineLevel="1"/>
    <col min="53" max="53" width="16.9296875" style="4" bestFit="1" customWidth="1" outlineLevel="1"/>
    <col min="54" max="54" width="17.06640625" style="4" bestFit="1" customWidth="1" outlineLevel="1"/>
    <col min="55" max="55" width="29.06640625" style="4" bestFit="1" customWidth="1" outlineLevel="1"/>
    <col min="56" max="56" width="29.1328125" style="4" bestFit="1" customWidth="1" outlineLevel="1"/>
    <col min="57" max="57" width="25.53125" style="4" bestFit="1" customWidth="1" outlineLevel="1"/>
    <col min="58" max="58" width="25.6640625" style="4" bestFit="1" customWidth="1" outlineLevel="1"/>
    <col min="59" max="59" width="22.86328125" style="4" bestFit="1" customWidth="1" outlineLevel="1"/>
    <col min="60" max="60" width="23" style="4" bestFit="1" customWidth="1" outlineLevel="1"/>
    <col min="61" max="61" width="23.796875" style="4" bestFit="1" customWidth="1" outlineLevel="1"/>
    <col min="62" max="62" width="23.9296875" style="4" bestFit="1" customWidth="1" outlineLevel="1"/>
    <col min="63" max="63" width="28.53125" style="4" bestFit="1" customWidth="1" outlineLevel="1"/>
    <col min="64" max="64" width="28.6640625" style="4" bestFit="1" customWidth="1" outlineLevel="1"/>
    <col min="65" max="65" width="13.73046875" style="4" bestFit="1" customWidth="1" outlineLevel="1"/>
    <col min="66" max="66" width="13.86328125" style="4" bestFit="1" customWidth="1" outlineLevel="1"/>
    <col min="67" max="67" width="25.86328125" style="4" bestFit="1" customWidth="1" outlineLevel="1"/>
    <col min="68" max="68" width="26" style="4" bestFit="1" customWidth="1" outlineLevel="1"/>
    <col min="69" max="69" width="22.3984375" style="4" bestFit="1" customWidth="1" outlineLevel="1"/>
    <col min="70" max="70" width="22.46484375" style="4" bestFit="1" customWidth="1" outlineLevel="1"/>
    <col min="71" max="94" width="5.59765625" style="4" hidden="1" customWidth="1" outlineLevel="1"/>
    <col min="95" max="95" width="9.1328125" style="4" customWidth="1" outlineLevel="1"/>
    <col min="96" max="96" width="30.33203125" style="4" bestFit="1" customWidth="1" outlineLevel="1"/>
    <col min="97" max="97" width="31.46484375" style="4" bestFit="1" customWidth="1" outlineLevel="1"/>
    <col min="98" max="98" width="35.796875" style="4" bestFit="1" customWidth="1" outlineLevel="1"/>
    <col min="99" max="99" width="31" style="4" bestFit="1" customWidth="1" outlineLevel="1"/>
    <col min="100" max="100" width="32.06640625" style="4" bestFit="1" customWidth="1" outlineLevel="1"/>
    <col min="101" max="101" width="36.46484375" style="4" bestFit="1" customWidth="1" outlineLevel="1"/>
    <col min="102" max="102" width="33.1328125" style="4" bestFit="1" customWidth="1" outlineLevel="1"/>
    <col min="103" max="103" width="34.33203125" style="4" bestFit="1" customWidth="1" outlineLevel="1"/>
    <col min="104" max="104" width="38.73046875" style="4" bestFit="1" customWidth="1" outlineLevel="1"/>
    <col min="105" max="105" width="24.46484375" style="4" bestFit="1" customWidth="1" outlineLevel="1"/>
    <col min="106" max="106" width="36.6640625" style="4" bestFit="1" customWidth="1" outlineLevel="1"/>
    <col min="107" max="107" width="33" style="4" bestFit="1" customWidth="1" outlineLevel="1"/>
    <col min="108" max="108" width="33.796875" style="4" bestFit="1" customWidth="1" outlineLevel="1"/>
    <col min="109" max="109" width="35" style="4" bestFit="1" customWidth="1" outlineLevel="1"/>
    <col min="110" max="110" width="39.33203125" style="4" bestFit="1" customWidth="1" outlineLevel="1"/>
    <col min="111" max="111" width="25.06640625" style="4" bestFit="1" customWidth="1" outlineLevel="1"/>
    <col min="112" max="112" width="37.33203125" style="4" bestFit="1" customWidth="1" outlineLevel="1"/>
    <col min="113" max="113" width="33.6640625" style="4" bestFit="1" customWidth="1" outlineLevel="1"/>
    <col min="114" max="114" width="22.46484375" style="4" bestFit="1" customWidth="1" outlineLevel="1"/>
    <col min="115" max="115" width="22.6640625" style="4" bestFit="1" customWidth="1" outlineLevel="1"/>
    <col min="116" max="116" width="34.73046875" style="4" bestFit="1" customWidth="1" outlineLevel="1"/>
    <col min="117" max="117" width="34.86328125" style="4" bestFit="1" customWidth="1" outlineLevel="1"/>
    <col min="118" max="118" width="31.06640625" style="4" bestFit="1" customWidth="1" outlineLevel="1"/>
    <col min="119" max="119" width="31.19921875" style="4" bestFit="1" customWidth="1" outlineLevel="1"/>
    <col min="120" max="120" width="22.59765625" style="4" bestFit="1" customWidth="1" outlineLevel="1"/>
    <col min="121" max="121" width="22.73046875" style="4" bestFit="1" customWidth="1" outlineLevel="1"/>
    <col min="122" max="122" width="34.796875" style="4" bestFit="1" customWidth="1" outlineLevel="1"/>
    <col min="123" max="123" width="35" style="4" bestFit="1" customWidth="1" outlineLevel="1"/>
    <col min="124" max="124" width="31.1328125" style="4" bestFit="1" customWidth="1" outlineLevel="1"/>
    <col min="125" max="126" width="31.265625" style="4" bestFit="1" customWidth="1" outlineLevel="1"/>
    <col min="127" max="127" width="31.46484375" style="4" bestFit="1" customWidth="1" outlineLevel="1"/>
    <col min="128" max="128" width="32.3984375" style="4" bestFit="1" customWidth="1" outlineLevel="1"/>
    <col min="129" max="129" width="32.53125" style="4" bestFit="1" customWidth="1" outlineLevel="1"/>
    <col min="130" max="130" width="36.796875" style="4" bestFit="1" customWidth="1" outlineLevel="1"/>
    <col min="131" max="131" width="36.9296875" style="4" bestFit="1" customWidth="1" outlineLevel="1"/>
    <col min="132" max="132" width="22.59765625" style="4" bestFit="1" customWidth="1" outlineLevel="1"/>
    <col min="133" max="133" width="22.73046875" style="4" bestFit="1" customWidth="1" outlineLevel="1"/>
    <col min="134" max="134" width="34.796875" style="4" bestFit="1" customWidth="1" outlineLevel="1"/>
    <col min="135" max="135" width="35" style="4" bestFit="1" customWidth="1" outlineLevel="1"/>
    <col min="136" max="136" width="31.1328125" style="4" bestFit="1" customWidth="1" outlineLevel="1"/>
    <col min="137" max="137" width="31.265625" style="4" bestFit="1" customWidth="1" outlineLevel="1"/>
    <col min="138" max="138" width="28.1328125" style="4" bestFit="1" customWidth="1" outlineLevel="1"/>
    <col min="139" max="139" width="28.33203125" style="4" bestFit="1" customWidth="1" outlineLevel="1"/>
    <col min="140" max="140" width="29.265625" style="4" bestFit="1" customWidth="1" outlineLevel="1"/>
    <col min="141" max="141" width="29.3984375" style="4" bestFit="1" customWidth="1" outlineLevel="1"/>
    <col min="142" max="142" width="33.6640625" style="4" bestFit="1" customWidth="1" outlineLevel="1"/>
    <col min="143" max="143" width="33.796875" style="4" bestFit="1" customWidth="1" outlineLevel="1"/>
    <col min="144" max="144" width="19.46484375" style="4" bestFit="1" customWidth="1" outlineLevel="1"/>
    <col min="145" max="145" width="19.59765625" style="4" bestFit="1" customWidth="1" outlineLevel="1"/>
    <col min="146" max="146" width="31.6640625" style="4" bestFit="1" customWidth="1" outlineLevel="1"/>
    <col min="147" max="147" width="31.796875" style="4" bestFit="1" customWidth="1" outlineLevel="1"/>
    <col min="148" max="148" width="28" style="4" bestFit="1" customWidth="1" outlineLevel="1"/>
    <col min="149" max="149" width="28.1328125" style="4" bestFit="1" customWidth="1" outlineLevel="1"/>
    <col min="150" max="150" width="10.796875" style="4" customWidth="1" outlineLevel="1"/>
    <col min="151" max="161" width="10.796875" style="4" hidden="1" customWidth="1" outlineLevel="1"/>
    <col min="162" max="163" width="9.1328125" style="4" hidden="1" customWidth="1" outlineLevel="1"/>
    <col min="164" max="164" width="9.73046875" style="4" customWidth="1" outlineLevel="1"/>
    <col min="165" max="165" width="10.73046875" style="10" customWidth="1"/>
    <col min="166" max="16384" width="9.1328125" style="4"/>
  </cols>
  <sheetData>
    <row r="1" spans="2:165" ht="13.5" customHeight="1" x14ac:dyDescent="0.4">
      <c r="FI1" s="331"/>
    </row>
    <row r="2" spans="2:165" ht="12.75" customHeight="1" x14ac:dyDescent="0.4">
      <c r="FI2" s="331"/>
    </row>
    <row r="3" spans="2:165" ht="12.75" customHeight="1" x14ac:dyDescent="0.4">
      <c r="FI3" s="331"/>
    </row>
    <row r="4" spans="2:165" ht="13.5" customHeight="1" thickBot="1" x14ac:dyDescent="0.45">
      <c r="FI4" s="331"/>
    </row>
    <row r="5" spans="2:165" ht="20.25" customHeight="1" thickBot="1" x14ac:dyDescent="0.45">
      <c r="B5" s="325" t="s">
        <v>152</v>
      </c>
      <c r="C5" s="326"/>
      <c r="D5" s="326"/>
      <c r="E5" s="326"/>
      <c r="F5" s="327"/>
      <c r="H5" s="325" t="s">
        <v>148</v>
      </c>
      <c r="I5" s="326"/>
      <c r="J5" s="326"/>
      <c r="K5" s="326"/>
      <c r="L5" s="326"/>
      <c r="M5" s="326"/>
      <c r="N5" s="327"/>
      <c r="Q5" s="328" t="s">
        <v>9</v>
      </c>
      <c r="R5" s="329"/>
      <c r="S5" s="329"/>
      <c r="T5" s="329"/>
      <c r="U5" s="329"/>
      <c r="V5" s="330"/>
      <c r="CR5" s="332" t="s">
        <v>10</v>
      </c>
      <c r="CS5" s="333"/>
      <c r="CT5" s="333"/>
      <c r="CU5" s="333"/>
      <c r="CV5" s="333"/>
      <c r="CW5" s="333"/>
      <c r="FI5" s="331"/>
    </row>
    <row r="6" spans="2:165" ht="15" customHeight="1" x14ac:dyDescent="0.4">
      <c r="CR6" s="7" t="str" cm="1">
        <f t="array" ref="CR6:ES6">TRANSPOSE(tbl_products_lines[])</f>
        <v>MERCEDEZ GLE 53 Rear Axle</v>
      </c>
      <c r="CS6" s="7" t="str">
        <v>MERCEDEZ GLE 580 Rear Axle</v>
      </c>
      <c r="CT6" s="7" t="str">
        <v>MERCEDEZ LE 300 Coupé Rear Axle</v>
      </c>
      <c r="CU6" s="7" t="str">
        <v>MERCEDEZ GLE 53 Front Axle</v>
      </c>
      <c r="CV6" s="7" t="str">
        <v>MERCEDEZ GLE 580 Front Axle</v>
      </c>
      <c r="CW6" s="7" t="str">
        <v>MERCEDEZ LE 300 Coupé Front Axle</v>
      </c>
      <c r="CX6" s="7" t="str">
        <v>MERCEDEZ GLE 53 Rear Bumper</v>
      </c>
      <c r="CY6" s="7" t="str">
        <v>MERCEDEZ GLE 580 Rear Bumper</v>
      </c>
      <c r="CZ6" s="7" t="str">
        <v>MERCEDEZ LE 300 Coupé Rear Bumper</v>
      </c>
      <c r="DA6" s="7" t="str">
        <v>BMW X7 Rear Bumper</v>
      </c>
      <c r="DB6" s="7" t="str">
        <v>BMW 420d Gran Coupé Rear Bumper</v>
      </c>
      <c r="DC6" s="7" t="str">
        <v>BMW M550i xDrive Rear Bumper</v>
      </c>
      <c r="DD6" s="7" t="str">
        <v>MERCEDEZ GLE 53 Front Bumper</v>
      </c>
      <c r="DE6" s="7" t="str">
        <v>MERCEDEZ GLE 580 Front Bumper</v>
      </c>
      <c r="DF6" s="7" t="str">
        <v>MERCEDEZ LE 300 Coupé Front Bumper</v>
      </c>
      <c r="DG6" s="7" t="str">
        <v>BMW X7 Front Bumper</v>
      </c>
      <c r="DH6" s="7" t="str">
        <v>BMW 420d Gran Coupé Front Bumper</v>
      </c>
      <c r="DI6" s="7" t="str">
        <v>BMW M550i xDrive Front Bumper</v>
      </c>
      <c r="DJ6" s="7" t="str">
        <v>BMW X7 B-Pillar LH</v>
      </c>
      <c r="DK6" s="7" t="str">
        <v>BMW X7 B-Pillar RH</v>
      </c>
      <c r="DL6" s="7" t="str">
        <v>BMW 420d Gran Coupé B-Pillar LH</v>
      </c>
      <c r="DM6" s="7" t="str">
        <v>BMW 420d Gran Coupé B-Pillar RH</v>
      </c>
      <c r="DN6" s="7" t="str">
        <v>BMW M550i xDrive B-Pillar LH</v>
      </c>
      <c r="DO6" s="7" t="str">
        <v>BMW M550i xDrive B-Pillar RH</v>
      </c>
      <c r="DP6" s="7" t="str">
        <v>BMW X7 A-Pillar LH</v>
      </c>
      <c r="DQ6" s="7" t="str">
        <v>BMW X7 A-Pillar RH</v>
      </c>
      <c r="DR6" s="7" t="str">
        <v>BMW 420d Gran Coupé A-Pillar LH</v>
      </c>
      <c r="DS6" s="7" t="str">
        <v>BMW 420d Gran Coupé A-Pillar RH</v>
      </c>
      <c r="DT6" s="7" t="str">
        <v>BMW M550i xDrive A-Pillar LH</v>
      </c>
      <c r="DU6" s="7" t="str">
        <v>BMW M550i xDrive A-Pillar RH</v>
      </c>
      <c r="DV6" s="7" t="str">
        <v>MERCEDEZ GLE 53 C-Pillar LH</v>
      </c>
      <c r="DW6" s="7" t="str">
        <v>MERCEDEZ GLE 53 C-Pillar RH</v>
      </c>
      <c r="DX6" s="7" t="str">
        <v>MERCEDEZ GLE 580 C-Pillar LH</v>
      </c>
      <c r="DY6" s="7" t="str">
        <v>MERCEDEZ GLE 580 C-Pillar RH</v>
      </c>
      <c r="DZ6" s="7" t="str">
        <v>MERCEDEZ LE 300 Coupé C-Pillar LH</v>
      </c>
      <c r="EA6" s="7" t="str">
        <v>MERCEDEZ LE 300 Coupé C-Pillar RH</v>
      </c>
      <c r="EB6" s="7" t="str">
        <v>BMW X7 C-Pillar LH</v>
      </c>
      <c r="EC6" s="7" t="str">
        <v>BMW X7 C-Pillar RH</v>
      </c>
      <c r="ED6" s="7" t="str">
        <v>BMW 420d Gran Coupé C-Pillar LH</v>
      </c>
      <c r="EE6" s="7" t="str">
        <v>BMW 420d Gran Coupé C-Pillar RH</v>
      </c>
      <c r="EF6" s="7" t="str">
        <v>BMW M550i xDrive C-Pillar LH</v>
      </c>
      <c r="EG6" s="7" t="str">
        <v>BMW M550i xDrive C-Pillar RH</v>
      </c>
      <c r="EH6" s="7" t="str">
        <v>MERCEDEZ GLE 53 IP LHD</v>
      </c>
      <c r="EI6" s="7" t="str">
        <v>MERCEDEZ GLE 53 IP RHD</v>
      </c>
      <c r="EJ6" s="7" t="str">
        <v>MERCEDEZ GLE 580 IP LHD</v>
      </c>
      <c r="EK6" s="7" t="str">
        <v>MERCEDEZ GLE 580 IP RHD</v>
      </c>
      <c r="EL6" s="7" t="str">
        <v>MERCEDEZ LE 300 Coupé IP LHD</v>
      </c>
      <c r="EM6" s="7" t="str">
        <v>MERCEDEZ LE 300 Coupé IP RHD</v>
      </c>
      <c r="EN6" s="7" t="str">
        <v>BMW X7 IP LHD</v>
      </c>
      <c r="EO6" s="7" t="str">
        <v>BMW X7 IP RHD</v>
      </c>
      <c r="EP6" s="7" t="str">
        <v>BMW 420d Gran Coupé IP LHD</v>
      </c>
      <c r="EQ6" s="7" t="str">
        <v>BMW 420d Gran Coupé IP RHD</v>
      </c>
      <c r="ER6" s="7" t="str">
        <v>BMW M550i xDrive IP LHD</v>
      </c>
      <c r="ES6" s="7" t="str">
        <v>BMW M550i xDrive IP RHD</v>
      </c>
      <c r="ET6" s="6"/>
      <c r="EU6" s="6"/>
      <c r="EV6" s="6"/>
      <c r="EW6" s="6"/>
      <c r="EX6" s="6"/>
      <c r="EY6" s="6"/>
      <c r="EZ6" s="6"/>
      <c r="FA6" s="6"/>
      <c r="FB6" s="6"/>
      <c r="FC6" s="6"/>
      <c r="FD6" s="6"/>
      <c r="FE6" s="6"/>
      <c r="FI6" s="331"/>
    </row>
    <row r="7" spans="2:165" ht="24.95" customHeight="1" x14ac:dyDescent="0.4">
      <c r="B7" s="6" t="s">
        <v>149</v>
      </c>
      <c r="D7" s="86" t="s">
        <v>150</v>
      </c>
      <c r="F7" s="6" t="s">
        <v>151</v>
      </c>
      <c r="H7" s="6" t="s">
        <v>42</v>
      </c>
      <c r="J7" s="6" t="s">
        <v>43</v>
      </c>
      <c r="L7" s="6" t="s">
        <v>44</v>
      </c>
      <c r="N7" s="6" t="s">
        <v>45</v>
      </c>
      <c r="Q7" s="6" t="str" cm="1">
        <f t="array" ref="Q7:BR7">TRANSPOSE(tbl_products_lines[])</f>
        <v>MERCEDEZ GLE 53 Rear Axle</v>
      </c>
      <c r="R7" s="6" t="str">
        <v>MERCEDEZ GLE 580 Rear Axle</v>
      </c>
      <c r="S7" s="6" t="str">
        <v>MERCEDEZ LE 300 Coupé Rear Axle</v>
      </c>
      <c r="T7" s="6" t="str">
        <v>MERCEDEZ GLE 53 Front Axle</v>
      </c>
      <c r="U7" s="6" t="str">
        <v>MERCEDEZ GLE 580 Front Axle</v>
      </c>
      <c r="V7" s="6" t="str">
        <v>MERCEDEZ LE 300 Coupé Front Axle</v>
      </c>
      <c r="W7" s="6" t="str">
        <v>MERCEDEZ GLE 53 Rear Bumper</v>
      </c>
      <c r="X7" s="6" t="str">
        <v>MERCEDEZ GLE 580 Rear Bumper</v>
      </c>
      <c r="Y7" s="6" t="str">
        <v>MERCEDEZ LE 300 Coupé Rear Bumper</v>
      </c>
      <c r="Z7" s="6" t="str">
        <v>BMW X7 Rear Bumper</v>
      </c>
      <c r="AA7" s="6" t="str">
        <v>BMW 420d Gran Coupé Rear Bumper</v>
      </c>
      <c r="AB7" s="6" t="str">
        <v>BMW M550i xDrive Rear Bumper</v>
      </c>
      <c r="AC7" s="6" t="str">
        <v>MERCEDEZ GLE 53 Front Bumper</v>
      </c>
      <c r="AD7" s="6" t="str">
        <v>MERCEDEZ GLE 580 Front Bumper</v>
      </c>
      <c r="AE7" s="6" t="str">
        <v>MERCEDEZ LE 300 Coupé Front Bumper</v>
      </c>
      <c r="AF7" s="6" t="str">
        <v>BMW X7 Front Bumper</v>
      </c>
      <c r="AG7" s="6" t="str">
        <v>BMW 420d Gran Coupé Front Bumper</v>
      </c>
      <c r="AH7" s="6" t="str">
        <v>BMW M550i xDrive Front Bumper</v>
      </c>
      <c r="AI7" s="6" t="str">
        <v>BMW X7 B-Pillar LH</v>
      </c>
      <c r="AJ7" s="6" t="str">
        <v>BMW X7 B-Pillar RH</v>
      </c>
      <c r="AK7" s="6" t="str">
        <v>BMW 420d Gran Coupé B-Pillar LH</v>
      </c>
      <c r="AL7" s="6" t="str">
        <v>BMW 420d Gran Coupé B-Pillar RH</v>
      </c>
      <c r="AM7" s="6" t="str">
        <v>BMW M550i xDrive B-Pillar LH</v>
      </c>
      <c r="AN7" s="6" t="str">
        <v>BMW M550i xDrive B-Pillar RH</v>
      </c>
      <c r="AO7" s="6" t="str">
        <v>BMW X7 A-Pillar LH</v>
      </c>
      <c r="AP7" s="6" t="str">
        <v>BMW X7 A-Pillar RH</v>
      </c>
      <c r="AQ7" s="6" t="str">
        <v>BMW 420d Gran Coupé A-Pillar LH</v>
      </c>
      <c r="AR7" s="6" t="str">
        <v>BMW 420d Gran Coupé A-Pillar RH</v>
      </c>
      <c r="AS7" s="6" t="str">
        <v>BMW M550i xDrive A-Pillar LH</v>
      </c>
      <c r="AT7" s="6" t="str">
        <v>BMW M550i xDrive A-Pillar RH</v>
      </c>
      <c r="AU7" s="6" t="str">
        <v>MERCEDEZ GLE 53 C-Pillar LH</v>
      </c>
      <c r="AV7" s="6" t="str">
        <v>MERCEDEZ GLE 53 C-Pillar RH</v>
      </c>
      <c r="AW7" s="6" t="str">
        <v>MERCEDEZ GLE 580 C-Pillar LH</v>
      </c>
      <c r="AX7" s="6" t="str">
        <v>MERCEDEZ GLE 580 C-Pillar RH</v>
      </c>
      <c r="AY7" s="6" t="str">
        <v>MERCEDEZ LE 300 Coupé C-Pillar LH</v>
      </c>
      <c r="AZ7" s="6" t="str">
        <v>MERCEDEZ LE 300 Coupé C-Pillar RH</v>
      </c>
      <c r="BA7" s="6" t="str">
        <v>BMW X7 C-Pillar LH</v>
      </c>
      <c r="BB7" s="6" t="str">
        <v>BMW X7 C-Pillar RH</v>
      </c>
      <c r="BC7" s="6" t="str">
        <v>BMW 420d Gran Coupé C-Pillar LH</v>
      </c>
      <c r="BD7" s="6" t="str">
        <v>BMW 420d Gran Coupé C-Pillar RH</v>
      </c>
      <c r="BE7" s="6" t="str">
        <v>BMW M550i xDrive C-Pillar LH</v>
      </c>
      <c r="BF7" s="6" t="str">
        <v>BMW M550i xDrive C-Pillar RH</v>
      </c>
      <c r="BG7" s="6" t="str">
        <v>MERCEDEZ GLE 53 IP LHD</v>
      </c>
      <c r="BH7" s="6" t="str">
        <v>MERCEDEZ GLE 53 IP RHD</v>
      </c>
      <c r="BI7" s="6" t="str">
        <v>MERCEDEZ GLE 580 IP LHD</v>
      </c>
      <c r="BJ7" s="6" t="str">
        <v>MERCEDEZ GLE 580 IP RHD</v>
      </c>
      <c r="BK7" s="6" t="str">
        <v>MERCEDEZ LE 300 Coupé IP LHD</v>
      </c>
      <c r="BL7" s="6" t="str">
        <v>MERCEDEZ LE 300 Coupé IP RHD</v>
      </c>
      <c r="BM7" s="6" t="str">
        <v>BMW X7 IP LHD</v>
      </c>
      <c r="BN7" s="6" t="str">
        <v>BMW X7 IP RHD</v>
      </c>
      <c r="BO7" s="6" t="str">
        <v>BMW 420d Gran Coupé IP LHD</v>
      </c>
      <c r="BP7" s="6" t="str">
        <v>BMW 420d Gran Coupé IP RHD</v>
      </c>
      <c r="BQ7" s="6" t="str">
        <v>BMW M550i xDrive IP LHD</v>
      </c>
      <c r="BR7" s="6" t="str">
        <v>BMW M550i xDrive IP RHD</v>
      </c>
      <c r="CR7" s="8" t="str" cm="1">
        <f t="array" aca="1" ref="CR7" ca="1">_xlfn.LET(
_xlpm.product,
CR$6,
_xlpm.line_list,_xlfn.ANCHORARRAY(
$P$8),
_xlpm.range,
INDIRECT("$Q$8:$" &amp; SUBSTITUTE(ADDRESS(1,COLUMNS(TRANSPOSE(tbl_products_lines[])) + 16,4),1,"") &amp; "$11"),
_xlpm.check,
_xlfn.XLOOKUP(_xlpm.product,_xlfn.ANCHORARRAY($Q$7),_xlpm.range),
IFERROR(_xlfn._xlws.FILTER(_xlpm.line_list,_xlpm.check="X"),"-")
)</f>
        <v>LINE 2</v>
      </c>
      <c r="CS7" s="8" t="str" cm="1">
        <f t="array" aca="1" ref="CS7" ca="1">_xlfn.LET(
_xlpm.product,
CS$6,
_xlpm.line_list,_xlfn.ANCHORARRAY(
$P$8),
_xlpm.range,
INDIRECT("$Q$8:$" &amp; SUBSTITUTE(ADDRESS(1,COLUMNS(TRANSPOSE(tbl_products_lines[])) + 16,4),1,"") &amp; "$11"),
_xlpm.check,
_xlfn.XLOOKUP(_xlpm.product,_xlfn.ANCHORARRAY($Q$7),_xlpm.range),
IFERROR(_xlfn._xlws.FILTER(_xlpm.line_list,_xlpm.check="X"),"-")
)</f>
        <v>LINE 2</v>
      </c>
      <c r="CT7" s="8" t="str" cm="1">
        <f t="array" aca="1" ref="CT7" ca="1">_xlfn.LET(
_xlpm.product,
CT$6,
_xlpm.line_list,_xlfn.ANCHORARRAY(
$P$8),
_xlpm.range,
INDIRECT("$Q$8:$" &amp; SUBSTITUTE(ADDRESS(1,COLUMNS(TRANSPOSE(tbl_products_lines[])) + 16,4),1,"") &amp; "$11"),
_xlpm.check,
_xlfn.XLOOKUP(_xlpm.product,_xlfn.ANCHORARRAY($Q$7),_xlpm.range),
IFERROR(_xlfn._xlws.FILTER(_xlpm.line_list,_xlpm.check="X"),"-")
)</f>
        <v>LINE 2</v>
      </c>
      <c r="CU7" s="8" t="str" cm="1">
        <f t="array" aca="1" ref="CU7" ca="1">_xlfn.LET(
_xlpm.product,
CU$6,
_xlpm.line_list,_xlfn.ANCHORARRAY(
$P$8),
_xlpm.range,
INDIRECT("$Q$8:$" &amp; SUBSTITUTE(ADDRESS(1,COLUMNS(TRANSPOSE(tbl_products_lines[])) + 16,4),1,"") &amp; "$11"),
_xlpm.check,
_xlfn.XLOOKUP(_xlpm.product,_xlfn.ANCHORARRAY($Q$7),_xlpm.range),
IFERROR(_xlfn._xlws.FILTER(_xlpm.line_list,_xlpm.check="X"),"-")
)</f>
        <v>LINE 1</v>
      </c>
      <c r="CV7" s="8" t="str" cm="1">
        <f t="array" aca="1" ref="CV7" ca="1">_xlfn.LET(
_xlpm.product,
CV$6,
_xlpm.line_list,_xlfn.ANCHORARRAY(
$P$8),
_xlpm.range,
INDIRECT("$Q$8:$" &amp; SUBSTITUTE(ADDRESS(1,COLUMNS(TRANSPOSE(tbl_products_lines[])) + 16,4),1,"") &amp; "$11"),
_xlpm.check,
_xlfn.XLOOKUP(_xlpm.product,_xlfn.ANCHORARRAY($Q$7),_xlpm.range),
IFERROR(_xlfn._xlws.FILTER(_xlpm.line_list,_xlpm.check="X"),"-")
)</f>
        <v>LINE 1</v>
      </c>
      <c r="CW7" s="8" t="str" cm="1">
        <f t="array" aca="1" ref="CW7" ca="1">_xlfn.LET(
_xlpm.product,
CW$6,
_xlpm.line_list,_xlfn.ANCHORARRAY(
$P$8),
_xlpm.range,
INDIRECT("$Q$8:$" &amp; SUBSTITUTE(ADDRESS(1,COLUMNS(TRANSPOSE(tbl_products_lines[])) + 16,4),1,"") &amp; "$11"),
_xlpm.check,
_xlfn.XLOOKUP(_xlpm.product,_xlfn.ANCHORARRAY($Q$7),_xlpm.range),
IFERROR(_xlfn._xlws.FILTER(_xlpm.line_list,_xlpm.check="X"),"-")
)</f>
        <v>LINE 1</v>
      </c>
      <c r="CX7" s="8" t="str" cm="1">
        <f t="array" aca="1" ref="CX7" ca="1">_xlfn.LET(
_xlpm.product,
CX$6,
_xlpm.line_list,_xlfn.ANCHORARRAY(
$P$8),
_xlpm.range,
INDIRECT("$Q$8:$" &amp; SUBSTITUTE(ADDRESS(1,COLUMNS(TRANSPOSE(tbl_products_lines[])) + 16,4),1,"") &amp; "$11"),
_xlpm.check,
_xlfn.XLOOKUP(_xlpm.product,_xlfn.ANCHORARRAY($Q$7),_xlpm.range),
IFERROR(_xlfn._xlws.FILTER(_xlpm.line_list,_xlpm.check="X"),"-")
)</f>
        <v>LINE 1</v>
      </c>
      <c r="CY7" s="8" t="str" cm="1">
        <f t="array" aca="1" ref="CY7" ca="1">_xlfn.LET(
_xlpm.product,
CY$6,
_xlpm.line_list,_xlfn.ANCHORARRAY(
$P$8),
_xlpm.range,
INDIRECT("$Q$8:$" &amp; SUBSTITUTE(ADDRESS(1,COLUMNS(TRANSPOSE(tbl_products_lines[])) + 16,4),1,"") &amp; "$11"),
_xlpm.check,
_xlfn.XLOOKUP(_xlpm.product,_xlfn.ANCHORARRAY($Q$7),_xlpm.range),
IFERROR(_xlfn._xlws.FILTER(_xlpm.line_list,_xlpm.check="X"),"-")
)</f>
        <v>LINE 1</v>
      </c>
      <c r="CZ7" s="8" t="str" cm="1">
        <f t="array" aca="1" ref="CZ7" ca="1">_xlfn.LET(
_xlpm.product,
CZ$6,
_xlpm.line_list,_xlfn.ANCHORARRAY(
$P$8),
_xlpm.range,
INDIRECT("$Q$8:$" &amp; SUBSTITUTE(ADDRESS(1,COLUMNS(TRANSPOSE(tbl_products_lines[])) + 16,4),1,"") &amp; "$11"),
_xlpm.check,
_xlfn.XLOOKUP(_xlpm.product,_xlfn.ANCHORARRAY($Q$7),_xlpm.range),
IFERROR(_xlfn._xlws.FILTER(_xlpm.line_list,_xlpm.check="X"),"-")
)</f>
        <v>LINE 3</v>
      </c>
      <c r="DA7" s="8" t="str" cm="1">
        <f t="array" aca="1" ref="DA7" ca="1">_xlfn.LET(
_xlpm.product,
DA$6,
_xlpm.line_list,_xlfn.ANCHORARRAY(
$P$8),
_xlpm.range,
INDIRECT("$Q$8:$" &amp; SUBSTITUTE(ADDRESS(1,COLUMNS(TRANSPOSE(tbl_products_lines[])) + 16,4),1,"") &amp; "$11"),
_xlpm.check,
_xlfn.XLOOKUP(_xlpm.product,_xlfn.ANCHORARRAY($Q$7),_xlpm.range),
IFERROR(_xlfn._xlws.FILTER(_xlpm.line_list,_xlpm.check="X"),"-")
)</f>
        <v>LINE 1</v>
      </c>
      <c r="DB7" s="8" t="str" cm="1">
        <f t="array" aca="1" ref="DB7" ca="1">_xlfn.LET(
_xlpm.product,
DB$6,
_xlpm.line_list,_xlfn.ANCHORARRAY(
$P$8),
_xlpm.range,
INDIRECT("$Q$8:$" &amp; SUBSTITUTE(ADDRESS(1,COLUMNS(TRANSPOSE(tbl_products_lines[])) + 16,4),1,"") &amp; "$11"),
_xlpm.check,
_xlfn.XLOOKUP(_xlpm.product,_xlfn.ANCHORARRAY($Q$7),_xlpm.range),
IFERROR(_xlfn._xlws.FILTER(_xlpm.line_list,_xlpm.check="X"),"-")
)</f>
        <v>LINE 3</v>
      </c>
      <c r="DC7" s="8" t="str" cm="1">
        <f t="array" aca="1" ref="DC7" ca="1">_xlfn.LET(
_xlpm.product,
DC$6,
_xlpm.line_list,_xlfn.ANCHORARRAY(
$P$8),
_xlpm.range,
INDIRECT("$Q$8:$" &amp; SUBSTITUTE(ADDRESS(1,COLUMNS(TRANSPOSE(tbl_products_lines[])) + 16,4),1,"") &amp; "$11"),
_xlpm.check,
_xlfn.XLOOKUP(_xlpm.product,_xlfn.ANCHORARRAY($Q$7),_xlpm.range),
IFERROR(_xlfn._xlws.FILTER(_xlpm.line_list,_xlpm.check="X"),"-")
)</f>
        <v>LINE 3</v>
      </c>
      <c r="DD7" s="8" t="str" cm="1">
        <f t="array" aca="1" ref="DD7" ca="1">_xlfn.LET(
_xlpm.product,
DD$6,
_xlpm.line_list,_xlfn.ANCHORARRAY(
$P$8),
_xlpm.range,
INDIRECT("$Q$8:$" &amp; SUBSTITUTE(ADDRESS(1,COLUMNS(TRANSPOSE(tbl_products_lines[])) + 16,4),1,"") &amp; "$11"),
_xlpm.check,
_xlfn.XLOOKUP(_xlpm.product,_xlfn.ANCHORARRAY($Q$7),_xlpm.range),
IFERROR(_xlfn._xlws.FILTER(_xlpm.line_list,_xlpm.check="X"),"-")
)</f>
        <v>LINE 2</v>
      </c>
      <c r="DE7" s="8" t="str" cm="1">
        <f t="array" aca="1" ref="DE7" ca="1">_xlfn.LET(
_xlpm.product,
DE$6,
_xlpm.line_list,_xlfn.ANCHORARRAY(
$P$8),
_xlpm.range,
INDIRECT("$Q$8:$" &amp; SUBSTITUTE(ADDRESS(1,COLUMNS(TRANSPOSE(tbl_products_lines[])) + 16,4),1,"") &amp; "$11"),
_xlpm.check,
_xlfn.XLOOKUP(_xlpm.product,_xlfn.ANCHORARRAY($Q$7),_xlpm.range),
IFERROR(_xlfn._xlws.FILTER(_xlpm.line_list,_xlpm.check="X"),"-")
)</f>
        <v>LINE 2</v>
      </c>
      <c r="DF7" s="8" t="str" cm="1">
        <f t="array" aca="1" ref="DF7" ca="1">_xlfn.LET(
_xlpm.product,
DF$6,
_xlpm.line_list,_xlfn.ANCHORARRAY(
$P$8),
_xlpm.range,
INDIRECT("$Q$8:$" &amp; SUBSTITUTE(ADDRESS(1,COLUMNS(TRANSPOSE(tbl_products_lines[])) + 16,4),1,"") &amp; "$11"),
_xlpm.check,
_xlfn.XLOOKUP(_xlpm.product,_xlfn.ANCHORARRAY($Q$7),_xlpm.range),
IFERROR(_xlfn._xlws.FILTER(_xlpm.line_list,_xlpm.check="X"),"-")
)</f>
        <v>LINE 4</v>
      </c>
      <c r="DG7" s="8" t="str" cm="1">
        <f t="array" aca="1" ref="DG7" ca="1">_xlfn.LET(
_xlpm.product,
DG$6,
_xlpm.line_list,_xlfn.ANCHORARRAY(
$P$8),
_xlpm.range,
INDIRECT("$Q$8:$" &amp; SUBSTITUTE(ADDRESS(1,COLUMNS(TRANSPOSE(tbl_products_lines[])) + 16,4),1,"") &amp; "$11"),
_xlpm.check,
_xlfn.XLOOKUP(_xlpm.product,_xlfn.ANCHORARRAY($Q$7),_xlpm.range),
IFERROR(_xlfn._xlws.FILTER(_xlpm.line_list,_xlpm.check="X"),"-")
)</f>
        <v>LINE 2</v>
      </c>
      <c r="DH7" s="8" t="str" cm="1">
        <f t="array" aca="1" ref="DH7" ca="1">_xlfn.LET(
_xlpm.product,
DH$6,
_xlpm.line_list,_xlfn.ANCHORARRAY(
$P$8),
_xlpm.range,
INDIRECT("$Q$8:$" &amp; SUBSTITUTE(ADDRESS(1,COLUMNS(TRANSPOSE(tbl_products_lines[])) + 16,4),1,"") &amp; "$11"),
_xlpm.check,
_xlfn.XLOOKUP(_xlpm.product,_xlfn.ANCHORARRAY($Q$7),_xlpm.range),
IFERROR(_xlfn._xlws.FILTER(_xlpm.line_list,_xlpm.check="X"),"-")
)</f>
        <v>LINE 4</v>
      </c>
      <c r="DI7" s="8" t="str" cm="1">
        <f t="array" aca="1" ref="DI7" ca="1">_xlfn.LET(
_xlpm.product,
DI$6,
_xlpm.line_list,_xlfn.ANCHORARRAY(
$P$8),
_xlpm.range,
INDIRECT("$Q$8:$" &amp; SUBSTITUTE(ADDRESS(1,COLUMNS(TRANSPOSE(tbl_products_lines[])) + 16,4),1,"") &amp; "$11"),
_xlpm.check,
_xlfn.XLOOKUP(_xlpm.product,_xlfn.ANCHORARRAY($Q$7),_xlpm.range),
IFERROR(_xlfn._xlws.FILTER(_xlpm.line_list,_xlpm.check="X"),"-")
)</f>
        <v>LINE 4</v>
      </c>
      <c r="DJ7" s="8" t="str" cm="1">
        <f t="array" aca="1" ref="DJ7" ca="1">_xlfn.LET(
_xlpm.product,
DJ$6,
_xlpm.line_list,_xlfn.ANCHORARRAY(
$P$8),
_xlpm.range,
INDIRECT("$Q$8:$" &amp; SUBSTITUTE(ADDRESS(1,COLUMNS(TRANSPOSE(tbl_products_lines[])) + 16,4),1,"") &amp; "$11"),
_xlpm.check,
_xlfn.XLOOKUP(_xlpm.product,_xlfn.ANCHORARRAY($Q$7),_xlpm.range),
IFERROR(_xlfn._xlws.FILTER(_xlpm.line_list,_xlpm.check="X"),"-")
)</f>
        <v>LINE 3</v>
      </c>
      <c r="DK7" s="8" t="str" cm="1">
        <f t="array" aca="1" ref="DK7" ca="1">_xlfn.LET(
_xlpm.product,
DK$6,
_xlpm.line_list,_xlfn.ANCHORARRAY(
$P$8),
_xlpm.range,
INDIRECT("$Q$8:$" &amp; SUBSTITUTE(ADDRESS(1,COLUMNS(TRANSPOSE(tbl_products_lines[])) + 16,4),1,"") &amp; "$11"),
_xlpm.check,
_xlfn.XLOOKUP(_xlpm.product,_xlfn.ANCHORARRAY($Q$7),_xlpm.range),
IFERROR(_xlfn._xlws.FILTER(_xlpm.line_list,_xlpm.check="X"),"-")
)</f>
        <v>LINE 3</v>
      </c>
      <c r="DL7" s="8" t="str" cm="1">
        <f t="array" aca="1" ref="DL7" ca="1">_xlfn.LET(
_xlpm.product,
DL$6,
_xlpm.line_list,_xlfn.ANCHORARRAY(
$P$8),
_xlpm.range,
INDIRECT("$Q$8:$" &amp; SUBSTITUTE(ADDRESS(1,COLUMNS(TRANSPOSE(tbl_products_lines[])) + 16,4),1,"") &amp; "$11"),
_xlpm.check,
_xlfn.XLOOKUP(_xlpm.product,_xlfn.ANCHORARRAY($Q$7),_xlpm.range),
IFERROR(_xlfn._xlws.FILTER(_xlpm.line_list,_xlpm.check="X"),"-")
)</f>
        <v>LINE 3</v>
      </c>
      <c r="DM7" s="8" t="str" cm="1">
        <f t="array" aca="1" ref="DM7" ca="1">_xlfn.LET(
_xlpm.product,
DM$6,
_xlpm.line_list,_xlfn.ANCHORARRAY(
$P$8),
_xlpm.range,
INDIRECT("$Q$8:$" &amp; SUBSTITUTE(ADDRESS(1,COLUMNS(TRANSPOSE(tbl_products_lines[])) + 16,4),1,"") &amp; "$11"),
_xlpm.check,
_xlfn.XLOOKUP(_xlpm.product,_xlfn.ANCHORARRAY($Q$7),_xlpm.range),
IFERROR(_xlfn._xlws.FILTER(_xlpm.line_list,_xlpm.check="X"),"-")
)</f>
        <v>LINE 3</v>
      </c>
      <c r="DN7" s="8" t="str" cm="1">
        <f t="array" aca="1" ref="DN7" ca="1">_xlfn.LET(
_xlpm.product,
DN$6,
_xlpm.line_list,_xlfn.ANCHORARRAY(
$P$8),
_xlpm.range,
INDIRECT("$Q$8:$" &amp; SUBSTITUTE(ADDRESS(1,COLUMNS(TRANSPOSE(tbl_products_lines[])) + 16,4),1,"") &amp; "$11"),
_xlpm.check,
_xlfn.XLOOKUP(_xlpm.product,_xlfn.ANCHORARRAY($Q$7),_xlpm.range),
IFERROR(_xlfn._xlws.FILTER(_xlpm.line_list,_xlpm.check="X"),"-")
)</f>
        <v>LINE 3</v>
      </c>
      <c r="DO7" s="8" t="str" cm="1">
        <f t="array" aca="1" ref="DO7" ca="1">_xlfn.LET(
_xlpm.product,
DO$6,
_xlpm.line_list,_xlfn.ANCHORARRAY(
$P$8),
_xlpm.range,
INDIRECT("$Q$8:$" &amp; SUBSTITUTE(ADDRESS(1,COLUMNS(TRANSPOSE(tbl_products_lines[])) + 16,4),1,"") &amp; "$11"),
_xlpm.check,
_xlfn.XLOOKUP(_xlpm.product,_xlfn.ANCHORARRAY($Q$7),_xlpm.range),
IFERROR(_xlfn._xlws.FILTER(_xlpm.line_list,_xlpm.check="X"),"-")
)</f>
        <v>LINE 3</v>
      </c>
      <c r="DP7" s="8" t="str" cm="1">
        <f t="array" aca="1" ref="DP7:DP8" ca="1">_xlfn.LET(
_xlpm.product,
DP$6,
_xlpm.line_list,_xlfn.ANCHORARRAY(
$P$8),
_xlpm.range,
INDIRECT("$Q$8:$" &amp; SUBSTITUTE(ADDRESS(1,COLUMNS(TRANSPOSE(tbl_products_lines[])) + 16,4),1,"") &amp; "$11"),
_xlpm.check,
_xlfn.XLOOKUP(_xlpm.product,_xlfn.ANCHORARRAY($Q$7),_xlpm.range),
IFERROR(_xlfn._xlws.FILTER(_xlpm.line_list,_xlpm.check="X"),"-")
)</f>
        <v>LINE 2</v>
      </c>
      <c r="DQ7" s="8" t="str" cm="1">
        <f t="array" aca="1" ref="DQ7:DQ8" ca="1">_xlfn.LET(
_xlpm.product,
DQ$6,
_xlpm.line_list,_xlfn.ANCHORARRAY(
$P$8),
_xlpm.range,
INDIRECT("$Q$8:$" &amp; SUBSTITUTE(ADDRESS(1,COLUMNS(TRANSPOSE(tbl_products_lines[])) + 16,4),1,"") &amp; "$11"),
_xlpm.check,
_xlfn.XLOOKUP(_xlpm.product,_xlfn.ANCHORARRAY($Q$7),_xlpm.range),
IFERROR(_xlfn._xlws.FILTER(_xlpm.line_list,_xlpm.check="X"),"-")
)</f>
        <v>LINE 2</v>
      </c>
      <c r="DR7" s="8" t="str" cm="1">
        <f t="array" aca="1" ref="DR7:DR8" ca="1">_xlfn.LET(
_xlpm.product,
DR$6,
_xlpm.line_list,_xlfn.ANCHORARRAY(
$P$8),
_xlpm.range,
INDIRECT("$Q$8:$" &amp; SUBSTITUTE(ADDRESS(1,COLUMNS(TRANSPOSE(tbl_products_lines[])) + 16,4),1,"") &amp; "$11"),
_xlpm.check,
_xlfn.XLOOKUP(_xlpm.product,_xlfn.ANCHORARRAY($Q$7),_xlpm.range),
IFERROR(_xlfn._xlws.FILTER(_xlpm.line_list,_xlpm.check="X"),"-")
)</f>
        <v>LINE 2</v>
      </c>
      <c r="DS7" s="8" t="str" cm="1">
        <f t="array" aca="1" ref="DS7:DS8" ca="1">_xlfn.LET(
_xlpm.product,
DS$6,
_xlpm.line_list,_xlfn.ANCHORARRAY(
$P$8),
_xlpm.range,
INDIRECT("$Q$8:$" &amp; SUBSTITUTE(ADDRESS(1,COLUMNS(TRANSPOSE(tbl_products_lines[])) + 16,4),1,"") &amp; "$11"),
_xlpm.check,
_xlfn.XLOOKUP(_xlpm.product,_xlfn.ANCHORARRAY($Q$7),_xlpm.range),
IFERROR(_xlfn._xlws.FILTER(_xlpm.line_list,_xlpm.check="X"),"-")
)</f>
        <v>LINE 2</v>
      </c>
      <c r="DT7" s="8" t="str" cm="1">
        <f t="array" aca="1" ref="DT7:DT8" ca="1">_xlfn.LET(
_xlpm.product,
DT$6,
_xlpm.line_list,_xlfn.ANCHORARRAY(
$P$8),
_xlpm.range,
INDIRECT("$Q$8:$" &amp; SUBSTITUTE(ADDRESS(1,COLUMNS(TRANSPOSE(tbl_products_lines[])) + 16,4),1,"") &amp; "$11"),
_xlpm.check,
_xlfn.XLOOKUP(_xlpm.product,_xlfn.ANCHORARRAY($Q$7),_xlpm.range),
IFERROR(_xlfn._xlws.FILTER(_xlpm.line_list,_xlpm.check="X"),"-")
)</f>
        <v>LINE 2</v>
      </c>
      <c r="DU7" s="8" t="str" cm="1">
        <f t="array" aca="1" ref="DU7:DU8" ca="1">_xlfn.LET(
_xlpm.product,
DU$6,
_xlpm.line_list,_xlfn.ANCHORARRAY(
$P$8),
_xlpm.range,
INDIRECT("$Q$8:$" &amp; SUBSTITUTE(ADDRESS(1,COLUMNS(TRANSPOSE(tbl_products_lines[])) + 16,4),1,"") &amp; "$11"),
_xlpm.check,
_xlfn.XLOOKUP(_xlpm.product,_xlfn.ANCHORARRAY($Q$7),_xlpm.range),
IFERROR(_xlfn._xlws.FILTER(_xlpm.line_list,_xlpm.check="X"),"-")
)</f>
        <v>LINE 2</v>
      </c>
      <c r="DV7" s="8" t="str" cm="1">
        <f t="array" aca="1" ref="DV7:DV8" ca="1">_xlfn.LET(
_xlpm.product,
DV$6,
_xlpm.line_list,_xlfn.ANCHORARRAY(
$P$8),
_xlpm.range,
INDIRECT("$Q$8:$" &amp; SUBSTITUTE(ADDRESS(1,COLUMNS(TRANSPOSE(tbl_products_lines[])) + 16,4),1,"") &amp; "$11"),
_xlpm.check,
_xlfn.XLOOKUP(_xlpm.product,_xlfn.ANCHORARRAY($Q$7),_xlpm.range),
IFERROR(_xlfn._xlws.FILTER(_xlpm.line_list,_xlpm.check="X"),"-")
)</f>
        <v>LINE 2</v>
      </c>
      <c r="DW7" s="8" t="str" cm="1">
        <f t="array" aca="1" ref="DW7:DW8" ca="1">_xlfn.LET(
_xlpm.product,
DW$6,
_xlpm.line_list,_xlfn.ANCHORARRAY(
$P$8),
_xlpm.range,
INDIRECT("$Q$8:$" &amp; SUBSTITUTE(ADDRESS(1,COLUMNS(TRANSPOSE(tbl_products_lines[])) + 16,4),1,"") &amp; "$11"),
_xlpm.check,
_xlfn.XLOOKUP(_xlpm.product,_xlfn.ANCHORARRAY($Q$7),_xlpm.range),
IFERROR(_xlfn._xlws.FILTER(_xlpm.line_list,_xlpm.check="X"),"-")
)</f>
        <v>LINE 1</v>
      </c>
      <c r="DX7" s="8" t="str" cm="1">
        <f t="array" aca="1" ref="DX7:DX8" ca="1">_xlfn.LET(
_xlpm.product,
DX$6,
_xlpm.line_list,_xlfn.ANCHORARRAY(
$P$8),
_xlpm.range,
INDIRECT("$Q$8:$" &amp; SUBSTITUTE(ADDRESS(1,COLUMNS(TRANSPOSE(tbl_products_lines[])) + 16,4),1,"") &amp; "$11"),
_xlpm.check,
_xlfn.XLOOKUP(_xlpm.product,_xlfn.ANCHORARRAY($Q$7),_xlpm.range),
IFERROR(_xlfn._xlws.FILTER(_xlpm.line_list,_xlpm.check="X"),"-")
)</f>
        <v>LINE 2</v>
      </c>
      <c r="DY7" s="8" t="str" cm="1">
        <f t="array" aca="1" ref="DY7:DY8" ca="1">_xlfn.LET(
_xlpm.product,
DY$6,
_xlpm.line_list,_xlfn.ANCHORARRAY(
$P$8),
_xlpm.range,
INDIRECT("$Q$8:$" &amp; SUBSTITUTE(ADDRESS(1,COLUMNS(TRANSPOSE(tbl_products_lines[])) + 16,4),1,"") &amp; "$11"),
_xlpm.check,
_xlfn.XLOOKUP(_xlpm.product,_xlfn.ANCHORARRAY($Q$7),_xlpm.range),
IFERROR(_xlfn._xlws.FILTER(_xlpm.line_list,_xlpm.check="X"),"-")
)</f>
        <v>LINE 1</v>
      </c>
      <c r="DZ7" s="8" t="str" cm="1">
        <f t="array" aca="1" ref="DZ7:DZ8" ca="1">_xlfn.LET(
_xlpm.product,
DZ$6,
_xlpm.line_list,_xlfn.ANCHORARRAY(
$P$8),
_xlpm.range,
INDIRECT("$Q$8:$" &amp; SUBSTITUTE(ADDRESS(1,COLUMNS(TRANSPOSE(tbl_products_lines[])) + 16,4),1,"") &amp; "$11"),
_xlpm.check,
_xlfn.XLOOKUP(_xlpm.product,_xlfn.ANCHORARRAY($Q$7),_xlpm.range),
IFERROR(_xlfn._xlws.FILTER(_xlpm.line_list,_xlpm.check="X"),"-")
)</f>
        <v>LINE 2</v>
      </c>
      <c r="EA7" s="8" t="str" cm="1">
        <f t="array" aca="1" ref="EA7:EA8" ca="1">_xlfn.LET(
_xlpm.product,
EA$6,
_xlpm.line_list,_xlfn.ANCHORARRAY(
$P$8),
_xlpm.range,
INDIRECT("$Q$8:$" &amp; SUBSTITUTE(ADDRESS(1,COLUMNS(TRANSPOSE(tbl_products_lines[])) + 16,4),1,"") &amp; "$11"),
_xlpm.check,
_xlfn.XLOOKUP(_xlpm.product,_xlfn.ANCHORARRAY($Q$7),_xlpm.range),
IFERROR(_xlfn._xlws.FILTER(_xlpm.line_list,_xlpm.check="X"),"-")
)</f>
        <v>LINE 1</v>
      </c>
      <c r="EB7" s="8" t="str" cm="1">
        <f t="array" aca="1" ref="EB7" ca="1">_xlfn.LET(
_xlpm.product,
EB$6,
_xlpm.line_list,_xlfn.ANCHORARRAY(
$P$8),
_xlpm.range,
INDIRECT("$Q$8:$" &amp; SUBSTITUTE(ADDRESS(1,COLUMNS(TRANSPOSE(tbl_products_lines[])) + 16,4),1,"") &amp; "$11"),
_xlpm.check,
_xlfn.XLOOKUP(_xlpm.product,_xlfn.ANCHORARRAY($Q$7),_xlpm.range),
IFERROR(_xlfn._xlws.FILTER(_xlpm.line_list,_xlpm.check="X"),"-")
)</f>
        <v>LINE 2</v>
      </c>
      <c r="EC7" s="8" t="str" cm="1">
        <f t="array" aca="1" ref="EC7" ca="1">_xlfn.LET(
_xlpm.product,
EC$6,
_xlpm.line_list,_xlfn.ANCHORARRAY(
$P$8),
_xlpm.range,
INDIRECT("$Q$8:$" &amp; SUBSTITUTE(ADDRESS(1,COLUMNS(TRANSPOSE(tbl_products_lines[])) + 16,4),1,"") &amp; "$11"),
_xlpm.check,
_xlfn.XLOOKUP(_xlpm.product,_xlfn.ANCHORARRAY($Q$7),_xlpm.range),
IFERROR(_xlfn._xlws.FILTER(_xlpm.line_list,_xlpm.check="X"),"-")
)</f>
        <v>LINE 1</v>
      </c>
      <c r="ED7" s="8" t="str" cm="1">
        <f t="array" aca="1" ref="ED7" ca="1">_xlfn.LET(
_xlpm.product,
ED$6,
_xlpm.line_list,_xlfn.ANCHORARRAY(
$P$8),
_xlpm.range,
INDIRECT("$Q$8:$" &amp; SUBSTITUTE(ADDRESS(1,COLUMNS(TRANSPOSE(tbl_products_lines[])) + 16,4),1,"") &amp; "$11"),
_xlpm.check,
_xlfn.XLOOKUP(_xlpm.product,_xlfn.ANCHORARRAY($Q$7),_xlpm.range),
IFERROR(_xlfn._xlws.FILTER(_xlpm.line_list,_xlpm.check="X"),"-")
)</f>
        <v>LINE 2</v>
      </c>
      <c r="EE7" s="8" t="str" cm="1">
        <f t="array" aca="1" ref="EE7" ca="1">_xlfn.LET(
_xlpm.product,
EE$6,
_xlpm.line_list,_xlfn.ANCHORARRAY(
$P$8),
_xlpm.range,
INDIRECT("$Q$8:$" &amp; SUBSTITUTE(ADDRESS(1,COLUMNS(TRANSPOSE(tbl_products_lines[])) + 16,4),1,"") &amp; "$11"),
_xlpm.check,
_xlfn.XLOOKUP(_xlpm.product,_xlfn.ANCHORARRAY($Q$7),_xlpm.range),
IFERROR(_xlfn._xlws.FILTER(_xlpm.line_list,_xlpm.check="X"),"-")
)</f>
        <v>LINE 1</v>
      </c>
      <c r="EF7" s="8" t="str" cm="1">
        <f t="array" aca="1" ref="EF7" ca="1">_xlfn.LET(
_xlpm.product,
EF$6,
_xlpm.line_list,_xlfn.ANCHORARRAY(
$P$8),
_xlpm.range,
INDIRECT("$Q$8:$" &amp; SUBSTITUTE(ADDRESS(1,COLUMNS(TRANSPOSE(tbl_products_lines[])) + 16,4),1,"") &amp; "$11"),
_xlpm.check,
_xlfn.XLOOKUP(_xlpm.product,_xlfn.ANCHORARRAY($Q$7),_xlpm.range),
IFERROR(_xlfn._xlws.FILTER(_xlpm.line_list,_xlpm.check="X"),"-")
)</f>
        <v>LINE 2</v>
      </c>
      <c r="EG7" s="8" t="str" cm="1">
        <f t="array" aca="1" ref="EG7" ca="1">_xlfn.LET(
_xlpm.product,
EG$6,
_xlpm.line_list,_xlfn.ANCHORARRAY(
$P$8),
_xlpm.range,
INDIRECT("$Q$8:$" &amp; SUBSTITUTE(ADDRESS(1,COLUMNS(TRANSPOSE(tbl_products_lines[])) + 16,4),1,"") &amp; "$11"),
_xlpm.check,
_xlfn.XLOOKUP(_xlpm.product,_xlfn.ANCHORARRAY($Q$7),_xlpm.range),
IFERROR(_xlfn._xlws.FILTER(_xlpm.line_list,_xlpm.check="X"),"-")
)</f>
        <v>LINE 1</v>
      </c>
      <c r="EH7" s="8" t="str" cm="1">
        <f t="array" aca="1" ref="EH7" ca="1">_xlfn.LET(
_xlpm.product,
EH$6,
_xlpm.line_list,_xlfn.ANCHORARRAY(
$P$8),
_xlpm.range,
INDIRECT("$Q$8:$" &amp; SUBSTITUTE(ADDRESS(1,COLUMNS(TRANSPOSE(tbl_products_lines[])) + 16,4),1,"") &amp; "$11"),
_xlpm.check,
_xlfn.XLOOKUP(_xlpm.product,_xlfn.ANCHORARRAY($Q$7),_xlpm.range),
IFERROR(_xlfn._xlws.FILTER(_xlpm.line_list,_xlpm.check="X"),"-")
)</f>
        <v>LINE 1</v>
      </c>
      <c r="EI7" s="8" t="str" cm="1">
        <f t="array" aca="1" ref="EI7" ca="1">_xlfn.LET(
_xlpm.product,
EI$6,
_xlpm.line_list,_xlfn.ANCHORARRAY(
$P$8),
_xlpm.range,
INDIRECT("$Q$8:$" &amp; SUBSTITUTE(ADDRESS(1,COLUMNS(TRANSPOSE(tbl_products_lines[])) + 16,4),1,"") &amp; "$11"),
_xlpm.check,
_xlfn.XLOOKUP(_xlpm.product,_xlfn.ANCHORARRAY($Q$7),_xlpm.range),
IFERROR(_xlfn._xlws.FILTER(_xlpm.line_list,_xlpm.check="X"),"-")
)</f>
        <v>LINE 2</v>
      </c>
      <c r="EJ7" s="8" t="str" cm="1">
        <f t="array" aca="1" ref="EJ7" ca="1">_xlfn.LET(
_xlpm.product,
EJ$6,
_xlpm.line_list,_xlfn.ANCHORARRAY(
$P$8),
_xlpm.range,
INDIRECT("$Q$8:$" &amp; SUBSTITUTE(ADDRESS(1,COLUMNS(TRANSPOSE(tbl_products_lines[])) + 16,4),1,"") &amp; "$11"),
_xlpm.check,
_xlfn.XLOOKUP(_xlpm.product,_xlfn.ANCHORARRAY($Q$7),_xlpm.range),
IFERROR(_xlfn._xlws.FILTER(_xlpm.line_list,_xlpm.check="X"),"-")
)</f>
        <v>LINE 1</v>
      </c>
      <c r="EK7" s="8" t="str" cm="1">
        <f t="array" aca="1" ref="EK7" ca="1">_xlfn.LET(
_xlpm.product,
EK$6,
_xlpm.line_list,_xlfn.ANCHORARRAY(
$P$8),
_xlpm.range,
INDIRECT("$Q$8:$" &amp; SUBSTITUTE(ADDRESS(1,COLUMNS(TRANSPOSE(tbl_products_lines[])) + 16,4),1,"") &amp; "$11"),
_xlpm.check,
_xlfn.XLOOKUP(_xlpm.product,_xlfn.ANCHORARRAY($Q$7),_xlpm.range),
IFERROR(_xlfn._xlws.FILTER(_xlpm.line_list,_xlpm.check="X"),"-")
)</f>
        <v>LINE 2</v>
      </c>
      <c r="EL7" s="8" t="str" cm="1">
        <f t="array" aca="1" ref="EL7" ca="1">_xlfn.LET(
_xlpm.product,
EL$6,
_xlpm.line_list,_xlfn.ANCHORARRAY(
$P$8),
_xlpm.range,
INDIRECT("$Q$8:$" &amp; SUBSTITUTE(ADDRESS(1,COLUMNS(TRANSPOSE(tbl_products_lines[])) + 16,4),1,"") &amp; "$11"),
_xlpm.check,
_xlfn.XLOOKUP(_xlpm.product,_xlfn.ANCHORARRAY($Q$7),_xlpm.range),
IFERROR(_xlfn._xlws.FILTER(_xlpm.line_list,_xlpm.check="X"),"-")
)</f>
        <v>LINE 1</v>
      </c>
      <c r="EM7" s="8" t="str" cm="1">
        <f t="array" aca="1" ref="EM7" ca="1">_xlfn.LET(
_xlpm.product,
EM$6,
_xlpm.line_list,_xlfn.ANCHORARRAY(
$P$8),
_xlpm.range,
INDIRECT("$Q$8:$" &amp; SUBSTITUTE(ADDRESS(1,COLUMNS(TRANSPOSE(tbl_products_lines[])) + 16,4),1,"") &amp; "$11"),
_xlpm.check,
_xlfn.XLOOKUP(_xlpm.product,_xlfn.ANCHORARRAY($Q$7),_xlpm.range),
IFERROR(_xlfn._xlws.FILTER(_xlpm.line_list,_xlpm.check="X"),"-")
)</f>
        <v>LINE 2</v>
      </c>
      <c r="EN7" s="8" t="str" cm="1">
        <f t="array" aca="1" ref="EN7" ca="1">_xlfn.LET(
_xlpm.product,
EN$6,
_xlpm.line_list,_xlfn.ANCHORARRAY(
$P$8),
_xlpm.range,
INDIRECT("$Q$8:$" &amp; SUBSTITUTE(ADDRESS(1,COLUMNS(TRANSPOSE(tbl_products_lines[])) + 16,4),1,"") &amp; "$11"),
_xlpm.check,
_xlfn.XLOOKUP(_xlpm.product,_xlfn.ANCHORARRAY($Q$7),_xlpm.range),
IFERROR(_xlfn._xlws.FILTER(_xlpm.line_list,_xlpm.check="X"),"-")
)</f>
        <v>LINE 2</v>
      </c>
      <c r="EO7" s="8" t="str" cm="1">
        <f t="array" aca="1" ref="EO7" ca="1">_xlfn.LET(
_xlpm.product,
EO$6,
_xlpm.line_list,_xlfn.ANCHORARRAY(
$P$8),
_xlpm.range,
INDIRECT("$Q$8:$" &amp; SUBSTITUTE(ADDRESS(1,COLUMNS(TRANSPOSE(tbl_products_lines[])) + 16,4),1,"") &amp; "$11"),
_xlpm.check,
_xlfn.XLOOKUP(_xlpm.product,_xlfn.ANCHORARRAY($Q$7),_xlpm.range),
IFERROR(_xlfn._xlws.FILTER(_xlpm.line_list,_xlpm.check="X"),"-")
)</f>
        <v>LINE 1</v>
      </c>
      <c r="EP7" s="8" t="str" cm="1">
        <f t="array" aca="1" ref="EP7" ca="1">_xlfn.LET(
_xlpm.product,
EP$6,
_xlpm.line_list,_xlfn.ANCHORARRAY(
$P$8),
_xlpm.range,
INDIRECT("$Q$8:$" &amp; SUBSTITUTE(ADDRESS(1,COLUMNS(TRANSPOSE(tbl_products_lines[])) + 16,4),1,"") &amp; "$11"),
_xlpm.check,
_xlfn.XLOOKUP(_xlpm.product,_xlfn.ANCHORARRAY($Q$7),_xlpm.range),
IFERROR(_xlfn._xlws.FILTER(_xlpm.line_list,_xlpm.check="X"),"-")
)</f>
        <v>LINE 2</v>
      </c>
      <c r="EQ7" s="8" t="str" cm="1">
        <f t="array" aca="1" ref="EQ7" ca="1">_xlfn.LET(
_xlpm.product,
EQ$6,
_xlpm.line_list,_xlfn.ANCHORARRAY(
$P$8),
_xlpm.range,
INDIRECT("$Q$8:$" &amp; SUBSTITUTE(ADDRESS(1,COLUMNS(TRANSPOSE(tbl_products_lines[])) + 16,4),1,"") &amp; "$11"),
_xlpm.check,
_xlfn.XLOOKUP(_xlpm.product,_xlfn.ANCHORARRAY($Q$7),_xlpm.range),
IFERROR(_xlfn._xlws.FILTER(_xlpm.line_list,_xlpm.check="X"),"-")
)</f>
        <v>LINE 1</v>
      </c>
      <c r="ER7" s="8" t="str" cm="1">
        <f t="array" aca="1" ref="ER7" ca="1">_xlfn.LET(
_xlpm.product,
ER$6,
_xlpm.line_list,_xlfn.ANCHORARRAY(
$P$8),
_xlpm.range,
INDIRECT("$Q$8:$" &amp; SUBSTITUTE(ADDRESS(1,COLUMNS(TRANSPOSE(tbl_products_lines[])) + 16,4),1,"") &amp; "$11"),
_xlpm.check,
_xlfn.XLOOKUP(_xlpm.product,_xlfn.ANCHORARRAY($Q$7),_xlpm.range),
IFERROR(_xlfn._xlws.FILTER(_xlpm.line_list,_xlpm.check="X"),"-")
)</f>
        <v>LINE 2</v>
      </c>
      <c r="ES7" s="8" t="str" cm="1">
        <f t="array" aca="1" ref="ES7" ca="1">_xlfn.LET(
_xlpm.product,
ES$6,
_xlpm.line_list,_xlfn.ANCHORARRAY(
$P$8),
_xlpm.range,
INDIRECT("$Q$8:$" &amp; SUBSTITUTE(ADDRESS(1,COLUMNS(TRANSPOSE(tbl_products_lines[])) + 16,4),1,"") &amp; "$11"),
_xlpm.check,
_xlfn.XLOOKUP(_xlpm.product,_xlfn.ANCHORARRAY($Q$7),_xlpm.range),
IFERROR(_xlfn._xlws.FILTER(_xlpm.line_list,_xlpm.check="X"),"-")
)</f>
        <v>LINE 1</v>
      </c>
      <c r="FI7" s="331"/>
    </row>
    <row r="8" spans="2:165" ht="24.95" customHeight="1" x14ac:dyDescent="0.4">
      <c r="B8" s="6" t="s">
        <v>13</v>
      </c>
      <c r="D8" s="144" t="s">
        <v>157</v>
      </c>
      <c r="F8" s="6" t="s">
        <v>23</v>
      </c>
      <c r="H8" s="123" t="s">
        <v>136</v>
      </c>
      <c r="J8" s="6" t="s">
        <v>139</v>
      </c>
      <c r="L8" s="6" t="s">
        <v>142</v>
      </c>
      <c r="N8" s="6" t="s">
        <v>145</v>
      </c>
      <c r="P8" s="6" t="str" cm="1">
        <f t="array" ref="P8:P11">tbl_welding_lines[]</f>
        <v>LINE 1</v>
      </c>
      <c r="Q8" s="2"/>
      <c r="R8" s="2"/>
      <c r="S8" s="2"/>
      <c r="T8" s="2" t="s">
        <v>2</v>
      </c>
      <c r="U8" s="2" t="s">
        <v>2</v>
      </c>
      <c r="V8" s="2" t="s">
        <v>2</v>
      </c>
      <c r="W8" s="2" t="s">
        <v>2</v>
      </c>
      <c r="X8" s="2" t="s">
        <v>2</v>
      </c>
      <c r="Y8" s="2"/>
      <c r="Z8" s="2" t="s">
        <v>2</v>
      </c>
      <c r="AA8" s="2"/>
      <c r="AB8" s="2"/>
      <c r="AC8" s="2"/>
      <c r="AD8" s="2"/>
      <c r="AE8" s="2"/>
      <c r="AF8" s="2"/>
      <c r="AG8" s="2"/>
      <c r="AH8" s="2"/>
      <c r="AI8" s="2"/>
      <c r="AJ8" s="2"/>
      <c r="AK8" s="2"/>
      <c r="AL8" s="2"/>
      <c r="AM8" s="2"/>
      <c r="AN8" s="2"/>
      <c r="AO8" s="2"/>
      <c r="AP8" s="2"/>
      <c r="AQ8" s="2"/>
      <c r="AR8" s="2"/>
      <c r="AS8" s="2"/>
      <c r="AT8" s="2"/>
      <c r="AU8" s="2"/>
      <c r="AV8" s="2" t="s">
        <v>2</v>
      </c>
      <c r="AW8" s="2"/>
      <c r="AX8" s="2" t="s">
        <v>2</v>
      </c>
      <c r="AY8" s="2"/>
      <c r="AZ8" s="2" t="s">
        <v>2</v>
      </c>
      <c r="BA8" s="2"/>
      <c r="BB8" s="2" t="s">
        <v>2</v>
      </c>
      <c r="BC8" s="2"/>
      <c r="BD8" s="2" t="s">
        <v>2</v>
      </c>
      <c r="BE8" s="2"/>
      <c r="BF8" s="2" t="s">
        <v>2</v>
      </c>
      <c r="BG8" s="2" t="s">
        <v>2</v>
      </c>
      <c r="BH8" s="2"/>
      <c r="BI8" s="2" t="s">
        <v>2</v>
      </c>
      <c r="BJ8" s="2"/>
      <c r="BK8" s="2" t="s">
        <v>2</v>
      </c>
      <c r="BL8" s="2"/>
      <c r="BM8" s="2"/>
      <c r="BN8" s="2" t="s">
        <v>2</v>
      </c>
      <c r="BO8" s="2"/>
      <c r="BP8" s="2" t="s">
        <v>2</v>
      </c>
      <c r="BQ8" s="2"/>
      <c r="BR8" s="2" t="s">
        <v>2</v>
      </c>
      <c r="CR8" s="8"/>
      <c r="CS8" s="8"/>
      <c r="CT8" s="8"/>
      <c r="CU8" s="8"/>
      <c r="CV8" s="8"/>
      <c r="CW8" s="8"/>
      <c r="CX8" s="8"/>
      <c r="CY8" s="8"/>
      <c r="CZ8" s="8"/>
      <c r="DA8" s="8"/>
      <c r="DB8" s="8"/>
      <c r="DC8" s="8"/>
      <c r="DD8" s="8"/>
      <c r="DE8" s="8"/>
      <c r="DF8" s="8"/>
      <c r="DG8" s="8"/>
      <c r="DH8" s="8"/>
      <c r="DI8" s="8"/>
      <c r="DJ8" s="8"/>
      <c r="DK8" s="8"/>
      <c r="DL8" s="8"/>
      <c r="DM8" s="8"/>
      <c r="DN8" s="8"/>
      <c r="DO8" s="8"/>
      <c r="DP8" s="8" t="str">
        <f ca="1"/>
        <v>LINE 4</v>
      </c>
      <c r="DQ8" s="8" t="str">
        <f ca="1"/>
        <v>LINE 4</v>
      </c>
      <c r="DR8" s="8" t="str">
        <f ca="1"/>
        <v>LINE 4</v>
      </c>
      <c r="DS8" s="8" t="str">
        <f ca="1"/>
        <v>LINE 4</v>
      </c>
      <c r="DT8" s="8" t="str">
        <f ca="1"/>
        <v>LINE 4</v>
      </c>
      <c r="DU8" s="8" t="str">
        <f ca="1"/>
        <v>LINE 4</v>
      </c>
      <c r="DV8" s="8" t="str">
        <f ca="1"/>
        <v>LINE 4</v>
      </c>
      <c r="DW8" s="8" t="str">
        <f ca="1"/>
        <v>LINE 3</v>
      </c>
      <c r="DX8" s="8" t="str">
        <f ca="1"/>
        <v>LINE 4</v>
      </c>
      <c r="DY8" s="8" t="str">
        <f ca="1"/>
        <v>LINE 3</v>
      </c>
      <c r="DZ8" s="8" t="str">
        <f ca="1"/>
        <v>LINE 4</v>
      </c>
      <c r="EA8" s="8" t="str">
        <f ca="1"/>
        <v>LINE 3</v>
      </c>
      <c r="EB8" s="8"/>
      <c r="EC8" s="8"/>
      <c r="ED8" s="8"/>
      <c r="EE8" s="8"/>
      <c r="EF8" s="8"/>
      <c r="EG8" s="8"/>
      <c r="EH8" s="8"/>
      <c r="EI8" s="8"/>
      <c r="EJ8" s="8"/>
      <c r="EK8" s="8"/>
      <c r="EL8" s="8"/>
      <c r="EM8" s="8"/>
      <c r="EN8" s="8"/>
      <c r="EO8" s="8"/>
      <c r="EP8" s="8"/>
      <c r="EQ8" s="8"/>
      <c r="ER8" s="8"/>
      <c r="ES8" s="8"/>
      <c r="FI8" s="331"/>
    </row>
    <row r="9" spans="2:165" ht="24.95" customHeight="1" x14ac:dyDescent="0.4">
      <c r="B9" s="6" t="s">
        <v>14</v>
      </c>
      <c r="D9" s="144" t="s">
        <v>510</v>
      </c>
      <c r="F9" s="6" t="s">
        <v>24</v>
      </c>
      <c r="H9" s="6" t="s">
        <v>137</v>
      </c>
      <c r="J9" s="6" t="s">
        <v>140</v>
      </c>
      <c r="L9" s="6" t="s">
        <v>143</v>
      </c>
      <c r="N9" s="6" t="s">
        <v>146</v>
      </c>
      <c r="P9" s="6" t="str">
        <v>LINE 2</v>
      </c>
      <c r="Q9" s="2" t="s">
        <v>2</v>
      </c>
      <c r="R9" s="2" t="s">
        <v>2</v>
      </c>
      <c r="S9" s="2" t="s">
        <v>2</v>
      </c>
      <c r="T9" s="2"/>
      <c r="U9" s="2"/>
      <c r="V9" s="2"/>
      <c r="W9" s="2"/>
      <c r="X9" s="2"/>
      <c r="Y9" s="2"/>
      <c r="Z9" s="2"/>
      <c r="AA9" s="2"/>
      <c r="AB9" s="2"/>
      <c r="AC9" s="2" t="s">
        <v>2</v>
      </c>
      <c r="AD9" s="2" t="s">
        <v>2</v>
      </c>
      <c r="AE9" s="2"/>
      <c r="AF9" s="2" t="s">
        <v>2</v>
      </c>
      <c r="AG9" s="2"/>
      <c r="AH9" s="2"/>
      <c r="AI9" s="2"/>
      <c r="AJ9" s="2"/>
      <c r="AK9" s="2"/>
      <c r="AL9" s="2"/>
      <c r="AM9" s="2"/>
      <c r="AN9" s="2"/>
      <c r="AO9" s="2" t="s">
        <v>2</v>
      </c>
      <c r="AP9" s="2" t="s">
        <v>2</v>
      </c>
      <c r="AQ9" s="2" t="s">
        <v>2</v>
      </c>
      <c r="AR9" s="2" t="s">
        <v>2</v>
      </c>
      <c r="AS9" s="2" t="s">
        <v>2</v>
      </c>
      <c r="AT9" s="2" t="s">
        <v>2</v>
      </c>
      <c r="AU9" s="2" t="s">
        <v>2</v>
      </c>
      <c r="AV9" s="2"/>
      <c r="AW9" s="2" t="s">
        <v>2</v>
      </c>
      <c r="AX9" s="2"/>
      <c r="AY9" s="2" t="s">
        <v>2</v>
      </c>
      <c r="AZ9" s="2"/>
      <c r="BA9" s="2" t="s">
        <v>2</v>
      </c>
      <c r="BB9" s="2"/>
      <c r="BC9" s="2" t="s">
        <v>2</v>
      </c>
      <c r="BD9" s="2"/>
      <c r="BE9" s="2" t="s">
        <v>2</v>
      </c>
      <c r="BF9" s="2"/>
      <c r="BG9" s="2"/>
      <c r="BH9" s="2" t="s">
        <v>2</v>
      </c>
      <c r="BI9" s="2"/>
      <c r="BJ9" s="2" t="s">
        <v>2</v>
      </c>
      <c r="BK9" s="2"/>
      <c r="BL9" s="2" t="s">
        <v>2</v>
      </c>
      <c r="BM9" s="2" t="s">
        <v>2</v>
      </c>
      <c r="BN9" s="2"/>
      <c r="BO9" s="2" t="s">
        <v>2</v>
      </c>
      <c r="BP9" s="2"/>
      <c r="BQ9" s="2" t="s">
        <v>2</v>
      </c>
      <c r="BR9" s="2"/>
      <c r="CR9" s="8"/>
      <c r="CS9" s="8"/>
      <c r="CT9" s="8"/>
      <c r="CU9" s="8"/>
      <c r="CV9" s="8"/>
      <c r="CW9" s="8"/>
      <c r="CX9" s="8"/>
      <c r="CY9" s="8"/>
      <c r="CZ9" s="8"/>
      <c r="DA9" s="8"/>
      <c r="DB9" s="8"/>
      <c r="DC9" s="8"/>
      <c r="DD9" s="8"/>
      <c r="DE9" s="8"/>
      <c r="DF9" s="8"/>
      <c r="DG9" s="8"/>
      <c r="DH9" s="8"/>
      <c r="DI9" s="8"/>
      <c r="DJ9" s="8"/>
      <c r="DK9" s="8"/>
      <c r="DL9" s="8"/>
      <c r="DM9" s="8"/>
      <c r="DN9" s="8"/>
      <c r="DO9" s="8"/>
      <c r="DP9" s="8"/>
      <c r="DQ9" s="8"/>
      <c r="DR9" s="8"/>
      <c r="DS9" s="8"/>
      <c r="DT9" s="8"/>
      <c r="DU9" s="8"/>
      <c r="DV9" s="8"/>
      <c r="DW9" s="8"/>
      <c r="DX9" s="8"/>
      <c r="DY9" s="8"/>
      <c r="DZ9" s="8"/>
      <c r="EA9" s="8"/>
      <c r="EB9" s="8"/>
      <c r="EC9" s="8"/>
      <c r="ED9" s="8"/>
      <c r="EE9" s="8"/>
      <c r="EF9" s="8"/>
      <c r="EG9" s="8"/>
      <c r="EH9" s="8"/>
      <c r="EI9" s="8"/>
      <c r="EJ9" s="8"/>
      <c r="EK9" s="8"/>
      <c r="EL9" s="8"/>
      <c r="EM9" s="8"/>
      <c r="EN9" s="8"/>
      <c r="EO9" s="8"/>
      <c r="EP9" s="8"/>
      <c r="EQ9" s="8"/>
      <c r="ER9" s="8"/>
      <c r="ES9" s="8"/>
      <c r="FI9" s="331"/>
    </row>
    <row r="10" spans="2:165" ht="24.95" customHeight="1" x14ac:dyDescent="0.4">
      <c r="B10" s="6" t="s">
        <v>15</v>
      </c>
      <c r="D10" s="144" t="s">
        <v>158</v>
      </c>
      <c r="F10" s="6" t="s">
        <v>26</v>
      </c>
      <c r="H10" s="6" t="s">
        <v>138</v>
      </c>
      <c r="J10" s="6" t="s">
        <v>141</v>
      </c>
      <c r="L10" s="6" t="s">
        <v>144</v>
      </c>
      <c r="N10" s="6" t="s">
        <v>147</v>
      </c>
      <c r="P10" s="6" t="str">
        <v>LINE 3</v>
      </c>
      <c r="Q10" s="2"/>
      <c r="R10" s="2"/>
      <c r="S10" s="2"/>
      <c r="T10" s="2"/>
      <c r="U10" s="2"/>
      <c r="V10" s="2"/>
      <c r="W10" s="2"/>
      <c r="X10" s="2"/>
      <c r="Y10" s="2" t="s">
        <v>2</v>
      </c>
      <c r="Z10" s="2"/>
      <c r="AA10" s="2" t="s">
        <v>2</v>
      </c>
      <c r="AB10" s="2" t="s">
        <v>2</v>
      </c>
      <c r="AC10" s="2"/>
      <c r="AD10" s="2"/>
      <c r="AE10" s="2"/>
      <c r="AF10" s="2"/>
      <c r="AG10" s="2"/>
      <c r="AH10" s="2"/>
      <c r="AI10" s="2" t="s">
        <v>2</v>
      </c>
      <c r="AJ10" s="2" t="s">
        <v>2</v>
      </c>
      <c r="AK10" s="2" t="s">
        <v>2</v>
      </c>
      <c r="AL10" s="2" t="s">
        <v>2</v>
      </c>
      <c r="AM10" s="2" t="s">
        <v>2</v>
      </c>
      <c r="AN10" s="2" t="s">
        <v>2</v>
      </c>
      <c r="AO10" s="2"/>
      <c r="AP10" s="2"/>
      <c r="AQ10" s="2"/>
      <c r="AR10" s="2"/>
      <c r="AS10" s="2"/>
      <c r="AT10" s="2"/>
      <c r="AU10" s="2"/>
      <c r="AV10" s="2" t="s">
        <v>2</v>
      </c>
      <c r="AW10" s="2"/>
      <c r="AX10" s="2" t="s">
        <v>2</v>
      </c>
      <c r="AY10" s="2"/>
      <c r="AZ10" s="2" t="s">
        <v>2</v>
      </c>
      <c r="BA10" s="2"/>
      <c r="BB10" s="2"/>
      <c r="BC10" s="2"/>
      <c r="BD10" s="2"/>
      <c r="BE10" s="2"/>
      <c r="BF10" s="2"/>
      <c r="BG10" s="2"/>
      <c r="BH10" s="2"/>
      <c r="BI10" s="2"/>
      <c r="BJ10" s="2"/>
      <c r="BK10" s="2"/>
      <c r="BL10" s="2"/>
      <c r="BM10" s="2"/>
      <c r="BN10" s="2"/>
      <c r="BO10" s="2"/>
      <c r="BP10" s="2"/>
      <c r="BQ10" s="2"/>
      <c r="BR10" s="2"/>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FI10" s="331"/>
    </row>
    <row r="11" spans="2:165" ht="24.95" customHeight="1" x14ac:dyDescent="0.4">
      <c r="B11" s="6" t="s">
        <v>16</v>
      </c>
      <c r="D11" s="144" t="s">
        <v>159</v>
      </c>
      <c r="F11" s="6" t="s">
        <v>153</v>
      </c>
      <c r="H11" s="6"/>
      <c r="J11" s="6"/>
      <c r="L11" s="6"/>
      <c r="P11" s="6" t="str">
        <v>LINE 4</v>
      </c>
      <c r="Q11" s="2"/>
      <c r="R11" s="2"/>
      <c r="S11" s="2"/>
      <c r="T11" s="2"/>
      <c r="U11" s="2"/>
      <c r="V11" s="2"/>
      <c r="W11" s="2"/>
      <c r="X11" s="2"/>
      <c r="Y11" s="2"/>
      <c r="Z11" s="2"/>
      <c r="AA11" s="2"/>
      <c r="AB11" s="2"/>
      <c r="AC11" s="2"/>
      <c r="AD11" s="2"/>
      <c r="AE11" s="2" t="s">
        <v>2</v>
      </c>
      <c r="AF11" s="2"/>
      <c r="AG11" s="2" t="s">
        <v>2</v>
      </c>
      <c r="AH11" s="2" t="s">
        <v>2</v>
      </c>
      <c r="AI11" s="2"/>
      <c r="AJ11" s="2"/>
      <c r="AK11" s="2"/>
      <c r="AL11" s="2"/>
      <c r="AM11" s="2"/>
      <c r="AN11" s="2"/>
      <c r="AO11" s="2" t="s">
        <v>2</v>
      </c>
      <c r="AP11" s="2" t="s">
        <v>2</v>
      </c>
      <c r="AQ11" s="2" t="s">
        <v>2</v>
      </c>
      <c r="AR11" s="2" t="s">
        <v>2</v>
      </c>
      <c r="AS11" s="2" t="s">
        <v>2</v>
      </c>
      <c r="AT11" s="2" t="s">
        <v>2</v>
      </c>
      <c r="AU11" s="2" t="s">
        <v>2</v>
      </c>
      <c r="AV11" s="2"/>
      <c r="AW11" s="2" t="s">
        <v>2</v>
      </c>
      <c r="AX11" s="2"/>
      <c r="AY11" s="2" t="s">
        <v>2</v>
      </c>
      <c r="AZ11" s="2"/>
      <c r="BA11" s="2"/>
      <c r="BB11" s="2"/>
      <c r="BC11" s="2"/>
      <c r="BD11" s="2"/>
      <c r="BE11" s="2"/>
      <c r="BF11" s="2"/>
      <c r="BG11" s="2"/>
      <c r="BH11" s="2"/>
      <c r="BI11" s="2"/>
      <c r="BJ11" s="2"/>
      <c r="BK11" s="2"/>
      <c r="BL11" s="2"/>
      <c r="BM11" s="2"/>
      <c r="BN11" s="2"/>
      <c r="BO11" s="2"/>
      <c r="BP11" s="2"/>
      <c r="BQ11" s="2"/>
      <c r="BR11" s="2"/>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FI11" s="331"/>
    </row>
    <row r="12" spans="2:165" ht="24.95" customHeight="1" x14ac:dyDescent="0.4">
      <c r="B12" s="6"/>
      <c r="D12" s="144" t="s">
        <v>511</v>
      </c>
      <c r="F12" s="6" t="s">
        <v>154</v>
      </c>
      <c r="H12" s="6"/>
      <c r="J12" s="6"/>
      <c r="L12" s="6"/>
      <c r="CR12" s="6"/>
      <c r="CS12" s="6"/>
      <c r="CT12" s="6"/>
      <c r="CU12" s="6"/>
      <c r="CV12" s="6"/>
      <c r="CW12" s="6"/>
      <c r="FI12" s="331"/>
    </row>
    <row r="13" spans="2:165" ht="24.95" customHeight="1" x14ac:dyDescent="0.4">
      <c r="B13" s="6"/>
      <c r="D13" s="144" t="s">
        <v>160</v>
      </c>
      <c r="F13" s="6" t="s">
        <v>155</v>
      </c>
      <c r="CR13" s="6" t="str">
        <f ca="1">IF((CR$6&amp; " " &amp;CR7)= (CR$6&amp; " "),"",CR$6&amp; " " &amp;CR7)</f>
        <v>MERCEDEZ GLE 53 Rear Axle LINE 2</v>
      </c>
      <c r="CS13" s="6" t="str">
        <f t="shared" ref="CS13:ES13" ca="1" si="0">IF((CS$6&amp; " " &amp;CS7)= (CS$6&amp; " "),"",CS$6&amp; " " &amp;CS7)</f>
        <v>MERCEDEZ GLE 580 Rear Axle LINE 2</v>
      </c>
      <c r="CT13" s="6" t="str">
        <f t="shared" ca="1" si="0"/>
        <v>MERCEDEZ LE 300 Coupé Rear Axle LINE 2</v>
      </c>
      <c r="CU13" s="6" t="str">
        <f t="shared" ca="1" si="0"/>
        <v>MERCEDEZ GLE 53 Front Axle LINE 1</v>
      </c>
      <c r="CV13" s="6" t="str">
        <f t="shared" ca="1" si="0"/>
        <v>MERCEDEZ GLE 580 Front Axle LINE 1</v>
      </c>
      <c r="CW13" s="6" t="str">
        <f t="shared" ca="1" si="0"/>
        <v>MERCEDEZ LE 300 Coupé Front Axle LINE 1</v>
      </c>
      <c r="CX13" s="6" t="str">
        <f t="shared" ca="1" si="0"/>
        <v>MERCEDEZ GLE 53 Rear Bumper LINE 1</v>
      </c>
      <c r="CY13" s="6" t="str">
        <f t="shared" ca="1" si="0"/>
        <v>MERCEDEZ GLE 580 Rear Bumper LINE 1</v>
      </c>
      <c r="CZ13" s="6" t="str">
        <f t="shared" ca="1" si="0"/>
        <v>MERCEDEZ LE 300 Coupé Rear Bumper LINE 3</v>
      </c>
      <c r="DA13" s="6" t="str">
        <f t="shared" ca="1" si="0"/>
        <v>BMW X7 Rear Bumper LINE 1</v>
      </c>
      <c r="DB13" s="6" t="str">
        <f t="shared" ca="1" si="0"/>
        <v>BMW 420d Gran Coupé Rear Bumper LINE 3</v>
      </c>
      <c r="DC13" s="6" t="str">
        <f t="shared" ca="1" si="0"/>
        <v>BMW M550i xDrive Rear Bumper LINE 3</v>
      </c>
      <c r="DD13" s="6" t="str">
        <f t="shared" ca="1" si="0"/>
        <v>MERCEDEZ GLE 53 Front Bumper LINE 2</v>
      </c>
      <c r="DE13" s="6" t="str">
        <f t="shared" ca="1" si="0"/>
        <v>MERCEDEZ GLE 580 Front Bumper LINE 2</v>
      </c>
      <c r="DF13" s="6" t="str">
        <f t="shared" ca="1" si="0"/>
        <v>MERCEDEZ LE 300 Coupé Front Bumper LINE 4</v>
      </c>
      <c r="DG13" s="6" t="str">
        <f t="shared" ca="1" si="0"/>
        <v>BMW X7 Front Bumper LINE 2</v>
      </c>
      <c r="DH13" s="6" t="str">
        <f t="shared" ca="1" si="0"/>
        <v>BMW 420d Gran Coupé Front Bumper LINE 4</v>
      </c>
      <c r="DI13" s="6" t="str">
        <f t="shared" ca="1" si="0"/>
        <v>BMW M550i xDrive Front Bumper LINE 4</v>
      </c>
      <c r="DJ13" s="6" t="str">
        <f t="shared" ca="1" si="0"/>
        <v>BMW X7 B-Pillar LH LINE 3</v>
      </c>
      <c r="DK13" s="6" t="str">
        <f t="shared" ca="1" si="0"/>
        <v>BMW X7 B-Pillar RH LINE 3</v>
      </c>
      <c r="DL13" s="6" t="str">
        <f t="shared" ca="1" si="0"/>
        <v>BMW 420d Gran Coupé B-Pillar LH LINE 3</v>
      </c>
      <c r="DM13" s="6" t="str">
        <f t="shared" ca="1" si="0"/>
        <v>BMW 420d Gran Coupé B-Pillar RH LINE 3</v>
      </c>
      <c r="DN13" s="6" t="str">
        <f t="shared" ca="1" si="0"/>
        <v>BMW M550i xDrive B-Pillar LH LINE 3</v>
      </c>
      <c r="DO13" s="6" t="str">
        <f t="shared" ca="1" si="0"/>
        <v>BMW M550i xDrive B-Pillar RH LINE 3</v>
      </c>
      <c r="DP13" s="6" t="str">
        <f t="shared" ca="1" si="0"/>
        <v>BMW X7 A-Pillar LH LINE 2</v>
      </c>
      <c r="DQ13" s="6" t="str">
        <f t="shared" ca="1" si="0"/>
        <v>BMW X7 A-Pillar RH LINE 2</v>
      </c>
      <c r="DR13" s="6" t="str">
        <f t="shared" ca="1" si="0"/>
        <v>BMW 420d Gran Coupé A-Pillar LH LINE 2</v>
      </c>
      <c r="DS13" s="6" t="str">
        <f t="shared" ca="1" si="0"/>
        <v>BMW 420d Gran Coupé A-Pillar RH LINE 2</v>
      </c>
      <c r="DT13" s="6" t="str">
        <f t="shared" ca="1" si="0"/>
        <v>BMW M550i xDrive A-Pillar LH LINE 2</v>
      </c>
      <c r="DU13" s="6" t="str">
        <f t="shared" ca="1" si="0"/>
        <v>BMW M550i xDrive A-Pillar RH LINE 2</v>
      </c>
      <c r="DV13" s="6" t="str">
        <f t="shared" ca="1" si="0"/>
        <v>MERCEDEZ GLE 53 C-Pillar LH LINE 2</v>
      </c>
      <c r="DW13" s="6" t="str">
        <f t="shared" ca="1" si="0"/>
        <v>MERCEDEZ GLE 53 C-Pillar RH LINE 1</v>
      </c>
      <c r="DX13" s="6" t="str">
        <f t="shared" ca="1" si="0"/>
        <v>MERCEDEZ GLE 580 C-Pillar LH LINE 2</v>
      </c>
      <c r="DY13" s="6" t="str">
        <f t="shared" ca="1" si="0"/>
        <v>MERCEDEZ GLE 580 C-Pillar RH LINE 1</v>
      </c>
      <c r="DZ13" s="6" t="str">
        <f t="shared" ca="1" si="0"/>
        <v>MERCEDEZ LE 300 Coupé C-Pillar LH LINE 2</v>
      </c>
      <c r="EA13" s="6" t="str">
        <f t="shared" ca="1" si="0"/>
        <v>MERCEDEZ LE 300 Coupé C-Pillar RH LINE 1</v>
      </c>
      <c r="EB13" s="6" t="str">
        <f t="shared" ca="1" si="0"/>
        <v>BMW X7 C-Pillar LH LINE 2</v>
      </c>
      <c r="EC13" s="6" t="str">
        <f t="shared" ca="1" si="0"/>
        <v>BMW X7 C-Pillar RH LINE 1</v>
      </c>
      <c r="ED13" s="6" t="str">
        <f t="shared" ca="1" si="0"/>
        <v>BMW 420d Gran Coupé C-Pillar LH LINE 2</v>
      </c>
      <c r="EE13" s="6" t="str">
        <f t="shared" ca="1" si="0"/>
        <v>BMW 420d Gran Coupé C-Pillar RH LINE 1</v>
      </c>
      <c r="EF13" s="6" t="str">
        <f t="shared" ca="1" si="0"/>
        <v>BMW M550i xDrive C-Pillar LH LINE 2</v>
      </c>
      <c r="EG13" s="6" t="str">
        <f t="shared" ca="1" si="0"/>
        <v>BMW M550i xDrive C-Pillar RH LINE 1</v>
      </c>
      <c r="EH13" s="6" t="str">
        <f t="shared" ca="1" si="0"/>
        <v>MERCEDEZ GLE 53 IP LHD LINE 1</v>
      </c>
      <c r="EI13" s="6" t="str">
        <f t="shared" ca="1" si="0"/>
        <v>MERCEDEZ GLE 53 IP RHD LINE 2</v>
      </c>
      <c r="EJ13" s="6" t="str">
        <f t="shared" ca="1" si="0"/>
        <v>MERCEDEZ GLE 580 IP LHD LINE 1</v>
      </c>
      <c r="EK13" s="6" t="str">
        <f t="shared" ca="1" si="0"/>
        <v>MERCEDEZ GLE 580 IP RHD LINE 2</v>
      </c>
      <c r="EL13" s="6" t="str">
        <f t="shared" ca="1" si="0"/>
        <v>MERCEDEZ LE 300 Coupé IP LHD LINE 1</v>
      </c>
      <c r="EM13" s="6" t="str">
        <f t="shared" ca="1" si="0"/>
        <v>MERCEDEZ LE 300 Coupé IP RHD LINE 2</v>
      </c>
      <c r="EN13" s="6" t="str">
        <f t="shared" ca="1" si="0"/>
        <v>BMW X7 IP LHD LINE 2</v>
      </c>
      <c r="EO13" s="6" t="str">
        <f t="shared" ca="1" si="0"/>
        <v>BMW X7 IP RHD LINE 1</v>
      </c>
      <c r="EP13" s="6" t="str">
        <f t="shared" ca="1" si="0"/>
        <v>BMW 420d Gran Coupé IP LHD LINE 2</v>
      </c>
      <c r="EQ13" s="6" t="str">
        <f t="shared" ca="1" si="0"/>
        <v>BMW 420d Gran Coupé IP RHD LINE 1</v>
      </c>
      <c r="ER13" s="6" t="str">
        <f t="shared" ca="1" si="0"/>
        <v>BMW M550i xDrive IP LHD LINE 2</v>
      </c>
      <c r="ES13" s="6" t="str">
        <f t="shared" ca="1" si="0"/>
        <v>BMW M550i xDrive IP RHD LINE 1</v>
      </c>
      <c r="FI13" s="331"/>
    </row>
    <row r="14" spans="2:165" ht="24.95" customHeight="1" x14ac:dyDescent="0.4">
      <c r="B14" s="6"/>
      <c r="D14" s="144" t="s">
        <v>161</v>
      </c>
      <c r="F14" s="6" t="s">
        <v>156</v>
      </c>
      <c r="CR14" s="6" t="str">
        <f t="shared" ref="CR14:ES14" si="1">IF((CR$6&amp; " " &amp;CR8)= (CR$6&amp; " "),"",CR$6&amp; " " &amp;CR8)</f>
        <v/>
      </c>
      <c r="CS14" s="6" t="str">
        <f>IF((CS$6&amp; " " &amp;CS8)= (CS$6&amp; " "),"",CS$6&amp; " " &amp;CS8)</f>
        <v/>
      </c>
      <c r="CT14" s="6" t="str">
        <f t="shared" si="1"/>
        <v/>
      </c>
      <c r="CU14" s="6" t="str">
        <f t="shared" si="1"/>
        <v/>
      </c>
      <c r="CV14" s="6" t="str">
        <f t="shared" si="1"/>
        <v/>
      </c>
      <c r="CW14" s="6" t="str">
        <f t="shared" si="1"/>
        <v/>
      </c>
      <c r="CX14" s="6" t="str">
        <f t="shared" si="1"/>
        <v/>
      </c>
      <c r="CY14" s="6" t="str">
        <f t="shared" si="1"/>
        <v/>
      </c>
      <c r="CZ14" s="6" t="str">
        <f t="shared" si="1"/>
        <v/>
      </c>
      <c r="DA14" s="6" t="str">
        <f t="shared" si="1"/>
        <v/>
      </c>
      <c r="DB14" s="6" t="str">
        <f t="shared" si="1"/>
        <v/>
      </c>
      <c r="DC14" s="6" t="str">
        <f t="shared" si="1"/>
        <v/>
      </c>
      <c r="DD14" s="6" t="str">
        <f t="shared" si="1"/>
        <v/>
      </c>
      <c r="DE14" s="6" t="str">
        <f t="shared" si="1"/>
        <v/>
      </c>
      <c r="DF14" s="6" t="str">
        <f t="shared" si="1"/>
        <v/>
      </c>
      <c r="DG14" s="6" t="str">
        <f t="shared" si="1"/>
        <v/>
      </c>
      <c r="DH14" s="6" t="str">
        <f t="shared" si="1"/>
        <v/>
      </c>
      <c r="DI14" s="6" t="str">
        <f t="shared" si="1"/>
        <v/>
      </c>
      <c r="DJ14" s="6" t="str">
        <f t="shared" si="1"/>
        <v/>
      </c>
      <c r="DK14" s="6" t="str">
        <f t="shared" si="1"/>
        <v/>
      </c>
      <c r="DL14" s="6" t="str">
        <f t="shared" si="1"/>
        <v/>
      </c>
      <c r="DM14" s="6" t="str">
        <f t="shared" si="1"/>
        <v/>
      </c>
      <c r="DN14" s="6" t="str">
        <f t="shared" si="1"/>
        <v/>
      </c>
      <c r="DO14" s="6" t="str">
        <f t="shared" si="1"/>
        <v/>
      </c>
      <c r="DP14" s="6" t="str">
        <f t="shared" ca="1" si="1"/>
        <v>BMW X7 A-Pillar LH LINE 4</v>
      </c>
      <c r="DQ14" s="6" t="str">
        <f t="shared" ca="1" si="1"/>
        <v>BMW X7 A-Pillar RH LINE 4</v>
      </c>
      <c r="DR14" s="6" t="str">
        <f t="shared" ca="1" si="1"/>
        <v>BMW 420d Gran Coupé A-Pillar LH LINE 4</v>
      </c>
      <c r="DS14" s="6" t="str">
        <f t="shared" ca="1" si="1"/>
        <v>BMW 420d Gran Coupé A-Pillar RH LINE 4</v>
      </c>
      <c r="DT14" s="6" t="str">
        <f t="shared" ca="1" si="1"/>
        <v>BMW M550i xDrive A-Pillar LH LINE 4</v>
      </c>
      <c r="DU14" s="6" t="str">
        <f t="shared" ca="1" si="1"/>
        <v>BMW M550i xDrive A-Pillar RH LINE 4</v>
      </c>
      <c r="DV14" s="6" t="str">
        <f t="shared" ca="1" si="1"/>
        <v>MERCEDEZ GLE 53 C-Pillar LH LINE 4</v>
      </c>
      <c r="DW14" s="6" t="str">
        <f t="shared" ca="1" si="1"/>
        <v>MERCEDEZ GLE 53 C-Pillar RH LINE 3</v>
      </c>
      <c r="DX14" s="6" t="str">
        <f t="shared" ca="1" si="1"/>
        <v>MERCEDEZ GLE 580 C-Pillar LH LINE 4</v>
      </c>
      <c r="DY14" s="6" t="str">
        <f t="shared" ca="1" si="1"/>
        <v>MERCEDEZ GLE 580 C-Pillar RH LINE 3</v>
      </c>
      <c r="DZ14" s="6" t="str">
        <f t="shared" ca="1" si="1"/>
        <v>MERCEDEZ LE 300 Coupé C-Pillar LH LINE 4</v>
      </c>
      <c r="EA14" s="6" t="str">
        <f t="shared" ca="1" si="1"/>
        <v>MERCEDEZ LE 300 Coupé C-Pillar RH LINE 3</v>
      </c>
      <c r="EB14" s="6" t="str">
        <f t="shared" si="1"/>
        <v/>
      </c>
      <c r="EC14" s="6" t="str">
        <f t="shared" si="1"/>
        <v/>
      </c>
      <c r="ED14" s="6" t="str">
        <f t="shared" si="1"/>
        <v/>
      </c>
      <c r="EE14" s="6" t="str">
        <f t="shared" si="1"/>
        <v/>
      </c>
      <c r="EF14" s="6" t="str">
        <f t="shared" si="1"/>
        <v/>
      </c>
      <c r="EG14" s="6" t="str">
        <f t="shared" si="1"/>
        <v/>
      </c>
      <c r="EH14" s="6" t="str">
        <f t="shared" si="1"/>
        <v/>
      </c>
      <c r="EI14" s="6" t="str">
        <f t="shared" si="1"/>
        <v/>
      </c>
      <c r="EJ14" s="6" t="str">
        <f t="shared" si="1"/>
        <v/>
      </c>
      <c r="EK14" s="6" t="str">
        <f t="shared" si="1"/>
        <v/>
      </c>
      <c r="EL14" s="6" t="str">
        <f t="shared" si="1"/>
        <v/>
      </c>
      <c r="EM14" s="6" t="str">
        <f t="shared" si="1"/>
        <v/>
      </c>
      <c r="EN14" s="6" t="str">
        <f t="shared" si="1"/>
        <v/>
      </c>
      <c r="EO14" s="6" t="str">
        <f t="shared" si="1"/>
        <v/>
      </c>
      <c r="EP14" s="6" t="str">
        <f t="shared" si="1"/>
        <v/>
      </c>
      <c r="EQ14" s="6" t="str">
        <f t="shared" si="1"/>
        <v/>
      </c>
      <c r="ER14" s="6" t="str">
        <f t="shared" si="1"/>
        <v/>
      </c>
      <c r="ES14" s="6" t="str">
        <f t="shared" si="1"/>
        <v/>
      </c>
      <c r="FI14" s="331"/>
    </row>
    <row r="15" spans="2:165" ht="24.95" customHeight="1" x14ac:dyDescent="0.4">
      <c r="B15" s="5"/>
      <c r="D15" s="6" t="s">
        <v>512</v>
      </c>
      <c r="CR15" s="6"/>
      <c r="CS15" s="6"/>
      <c r="CT15" s="6"/>
      <c r="CU15" s="6"/>
      <c r="CV15" s="6"/>
      <c r="CW15" s="6"/>
      <c r="FI15" s="331"/>
    </row>
    <row r="16" spans="2:165" ht="24.95" customHeight="1" thickBot="1" x14ac:dyDescent="0.45">
      <c r="B16" s="5"/>
      <c r="D16" s="6" t="s">
        <v>162</v>
      </c>
      <c r="F16" s="151" t="s">
        <v>479</v>
      </c>
      <c r="G16" s="151" t="s">
        <v>480</v>
      </c>
      <c r="FI16" s="331"/>
    </row>
    <row r="17" spans="4:165" ht="26.25" customHeight="1" thickBot="1" x14ac:dyDescent="0.45">
      <c r="D17" s="6" t="s">
        <v>163</v>
      </c>
      <c r="F17" s="149" t="s">
        <v>157</v>
      </c>
      <c r="G17" s="6" t="s">
        <v>163</v>
      </c>
      <c r="Q17" s="328" t="s">
        <v>8</v>
      </c>
      <c r="R17" s="329"/>
      <c r="S17" s="329"/>
      <c r="T17" s="329"/>
      <c r="U17" s="329"/>
      <c r="V17" s="330"/>
      <c r="CR17" s="332" t="s">
        <v>11</v>
      </c>
      <c r="CS17" s="333"/>
      <c r="CT17" s="333"/>
      <c r="CU17" s="333"/>
      <c r="CV17" s="333"/>
      <c r="CW17" s="333"/>
      <c r="FI17" s="331"/>
    </row>
    <row r="18" spans="4:165" ht="24.95" customHeight="1" x14ac:dyDescent="0.4">
      <c r="D18" s="6" t="s">
        <v>164</v>
      </c>
      <c r="F18" s="149" t="s">
        <v>510</v>
      </c>
      <c r="G18" s="6" t="s">
        <v>164</v>
      </c>
      <c r="CR18" s="7" t="str" cm="1">
        <f t="array" ref="CR18:ES18">TRANSPOSE(tbl_products_lines[])</f>
        <v>MERCEDEZ GLE 53 Rear Axle</v>
      </c>
      <c r="CS18" s="7" t="str">
        <v>MERCEDEZ GLE 580 Rear Axle</v>
      </c>
      <c r="CT18" s="7" t="str">
        <v>MERCEDEZ LE 300 Coupé Rear Axle</v>
      </c>
      <c r="CU18" s="7" t="str">
        <v>MERCEDEZ GLE 53 Front Axle</v>
      </c>
      <c r="CV18" s="7" t="str">
        <v>MERCEDEZ GLE 580 Front Axle</v>
      </c>
      <c r="CW18" s="7" t="str">
        <v>MERCEDEZ LE 300 Coupé Front Axle</v>
      </c>
      <c r="CX18" s="7" t="str">
        <v>MERCEDEZ GLE 53 Rear Bumper</v>
      </c>
      <c r="CY18" s="7" t="str">
        <v>MERCEDEZ GLE 580 Rear Bumper</v>
      </c>
      <c r="CZ18" s="7" t="str">
        <v>MERCEDEZ LE 300 Coupé Rear Bumper</v>
      </c>
      <c r="DA18" s="7" t="str">
        <v>BMW X7 Rear Bumper</v>
      </c>
      <c r="DB18" s="7" t="str">
        <v>BMW 420d Gran Coupé Rear Bumper</v>
      </c>
      <c r="DC18" s="7" t="str">
        <v>BMW M550i xDrive Rear Bumper</v>
      </c>
      <c r="DD18" s="7" t="str">
        <v>MERCEDEZ GLE 53 Front Bumper</v>
      </c>
      <c r="DE18" s="7" t="str">
        <v>MERCEDEZ GLE 580 Front Bumper</v>
      </c>
      <c r="DF18" s="7" t="str">
        <v>MERCEDEZ LE 300 Coupé Front Bumper</v>
      </c>
      <c r="DG18" s="7" t="str">
        <v>BMW X7 Front Bumper</v>
      </c>
      <c r="DH18" s="7" t="str">
        <v>BMW 420d Gran Coupé Front Bumper</v>
      </c>
      <c r="DI18" s="7" t="str">
        <v>BMW M550i xDrive Front Bumper</v>
      </c>
      <c r="DJ18" s="7" t="str">
        <v>BMW X7 B-Pillar LH</v>
      </c>
      <c r="DK18" s="7" t="str">
        <v>BMW X7 B-Pillar RH</v>
      </c>
      <c r="DL18" s="7" t="str">
        <v>BMW 420d Gran Coupé B-Pillar LH</v>
      </c>
      <c r="DM18" s="7" t="str">
        <v>BMW 420d Gran Coupé B-Pillar RH</v>
      </c>
      <c r="DN18" s="7" t="str">
        <v>BMW M550i xDrive B-Pillar LH</v>
      </c>
      <c r="DO18" s="7" t="str">
        <v>BMW M550i xDrive B-Pillar RH</v>
      </c>
      <c r="DP18" s="7" t="str">
        <v>BMW X7 A-Pillar LH</v>
      </c>
      <c r="DQ18" s="7" t="str">
        <v>BMW X7 A-Pillar RH</v>
      </c>
      <c r="DR18" s="7" t="str">
        <v>BMW 420d Gran Coupé A-Pillar LH</v>
      </c>
      <c r="DS18" s="7" t="str">
        <v>BMW 420d Gran Coupé A-Pillar RH</v>
      </c>
      <c r="DT18" s="7" t="str">
        <v>BMW M550i xDrive A-Pillar LH</v>
      </c>
      <c r="DU18" s="7" t="str">
        <v>BMW M550i xDrive A-Pillar RH</v>
      </c>
      <c r="DV18" s="7" t="str">
        <v>MERCEDEZ GLE 53 C-Pillar LH</v>
      </c>
      <c r="DW18" s="7" t="str">
        <v>MERCEDEZ GLE 53 C-Pillar RH</v>
      </c>
      <c r="DX18" s="7" t="str">
        <v>MERCEDEZ GLE 580 C-Pillar LH</v>
      </c>
      <c r="DY18" s="7" t="str">
        <v>MERCEDEZ GLE 580 C-Pillar RH</v>
      </c>
      <c r="DZ18" s="7" t="str">
        <v>MERCEDEZ LE 300 Coupé C-Pillar LH</v>
      </c>
      <c r="EA18" s="7" t="str">
        <v>MERCEDEZ LE 300 Coupé C-Pillar RH</v>
      </c>
      <c r="EB18" s="7" t="str">
        <v>BMW X7 C-Pillar LH</v>
      </c>
      <c r="EC18" s="7" t="str">
        <v>BMW X7 C-Pillar RH</v>
      </c>
      <c r="ED18" s="7" t="str">
        <v>BMW 420d Gran Coupé C-Pillar LH</v>
      </c>
      <c r="EE18" s="7" t="str">
        <v>BMW 420d Gran Coupé C-Pillar RH</v>
      </c>
      <c r="EF18" s="7" t="str">
        <v>BMW M550i xDrive C-Pillar LH</v>
      </c>
      <c r="EG18" s="7" t="str">
        <v>BMW M550i xDrive C-Pillar RH</v>
      </c>
      <c r="EH18" s="7" t="str">
        <v>MERCEDEZ GLE 53 IP LHD</v>
      </c>
      <c r="EI18" s="7" t="str">
        <v>MERCEDEZ GLE 53 IP RHD</v>
      </c>
      <c r="EJ18" s="7" t="str">
        <v>MERCEDEZ GLE 580 IP LHD</v>
      </c>
      <c r="EK18" s="7" t="str">
        <v>MERCEDEZ GLE 580 IP RHD</v>
      </c>
      <c r="EL18" s="7" t="str">
        <v>MERCEDEZ LE 300 Coupé IP LHD</v>
      </c>
      <c r="EM18" s="7" t="str">
        <v>MERCEDEZ LE 300 Coupé IP RHD</v>
      </c>
      <c r="EN18" s="7" t="str">
        <v>BMW X7 IP LHD</v>
      </c>
      <c r="EO18" s="7" t="str">
        <v>BMW X7 IP RHD</v>
      </c>
      <c r="EP18" s="7" t="str">
        <v>BMW 420d Gran Coupé IP LHD</v>
      </c>
      <c r="EQ18" s="7" t="str">
        <v>BMW 420d Gran Coupé IP RHD</v>
      </c>
      <c r="ER18" s="7" t="str">
        <v>BMW M550i xDrive IP LHD</v>
      </c>
      <c r="ES18" s="7" t="str">
        <v>BMW M550i xDrive IP RHD</v>
      </c>
      <c r="FI18" s="331"/>
    </row>
    <row r="19" spans="4:165" ht="24.95" customHeight="1" x14ac:dyDescent="0.4">
      <c r="D19" s="6" t="s">
        <v>165</v>
      </c>
      <c r="F19" s="149" t="s">
        <v>158</v>
      </c>
      <c r="G19" s="6" t="s">
        <v>165</v>
      </c>
      <c r="Q19" s="6" t="str" cm="1">
        <f t="array" ref="Q19:BR19">TRANSPOSE(tbl_products_lines[])</f>
        <v>MERCEDEZ GLE 53 Rear Axle</v>
      </c>
      <c r="R19" s="6" t="str">
        <v>MERCEDEZ GLE 580 Rear Axle</v>
      </c>
      <c r="S19" s="6" t="str">
        <v>MERCEDEZ LE 300 Coupé Rear Axle</v>
      </c>
      <c r="T19" s="6" t="str">
        <v>MERCEDEZ GLE 53 Front Axle</v>
      </c>
      <c r="U19" s="6" t="str">
        <v>MERCEDEZ GLE 580 Front Axle</v>
      </c>
      <c r="V19" s="6" t="str">
        <v>MERCEDEZ LE 300 Coupé Front Axle</v>
      </c>
      <c r="W19" s="6" t="str">
        <v>MERCEDEZ GLE 53 Rear Bumper</v>
      </c>
      <c r="X19" s="6" t="str">
        <v>MERCEDEZ GLE 580 Rear Bumper</v>
      </c>
      <c r="Y19" s="6" t="str">
        <v>MERCEDEZ LE 300 Coupé Rear Bumper</v>
      </c>
      <c r="Z19" s="6" t="str">
        <v>BMW X7 Rear Bumper</v>
      </c>
      <c r="AA19" s="6" t="str">
        <v>BMW 420d Gran Coupé Rear Bumper</v>
      </c>
      <c r="AB19" s="6" t="str">
        <v>BMW M550i xDrive Rear Bumper</v>
      </c>
      <c r="AC19" s="6" t="str">
        <v>MERCEDEZ GLE 53 Front Bumper</v>
      </c>
      <c r="AD19" s="6" t="str">
        <v>MERCEDEZ GLE 580 Front Bumper</v>
      </c>
      <c r="AE19" s="6" t="str">
        <v>MERCEDEZ LE 300 Coupé Front Bumper</v>
      </c>
      <c r="AF19" s="6" t="str">
        <v>BMW X7 Front Bumper</v>
      </c>
      <c r="AG19" s="6" t="str">
        <v>BMW 420d Gran Coupé Front Bumper</v>
      </c>
      <c r="AH19" s="6" t="str">
        <v>BMW M550i xDrive Front Bumper</v>
      </c>
      <c r="AI19" s="6" t="str">
        <v>BMW X7 B-Pillar LH</v>
      </c>
      <c r="AJ19" s="6" t="str">
        <v>BMW X7 B-Pillar RH</v>
      </c>
      <c r="AK19" s="6" t="str">
        <v>BMW 420d Gran Coupé B-Pillar LH</v>
      </c>
      <c r="AL19" s="6" t="str">
        <v>BMW 420d Gran Coupé B-Pillar RH</v>
      </c>
      <c r="AM19" s="6" t="str">
        <v>BMW M550i xDrive B-Pillar LH</v>
      </c>
      <c r="AN19" s="6" t="str">
        <v>BMW M550i xDrive B-Pillar RH</v>
      </c>
      <c r="AO19" s="6" t="str">
        <v>BMW X7 A-Pillar LH</v>
      </c>
      <c r="AP19" s="6" t="str">
        <v>BMW X7 A-Pillar RH</v>
      </c>
      <c r="AQ19" s="6" t="str">
        <v>BMW 420d Gran Coupé A-Pillar LH</v>
      </c>
      <c r="AR19" s="6" t="str">
        <v>BMW 420d Gran Coupé A-Pillar RH</v>
      </c>
      <c r="AS19" s="6" t="str">
        <v>BMW M550i xDrive A-Pillar LH</v>
      </c>
      <c r="AT19" s="6" t="str">
        <v>BMW M550i xDrive A-Pillar RH</v>
      </c>
      <c r="AU19" s="6" t="str">
        <v>MERCEDEZ GLE 53 C-Pillar LH</v>
      </c>
      <c r="AV19" s="6" t="str">
        <v>MERCEDEZ GLE 53 C-Pillar RH</v>
      </c>
      <c r="AW19" s="6" t="str">
        <v>MERCEDEZ GLE 580 C-Pillar LH</v>
      </c>
      <c r="AX19" s="6" t="str">
        <v>MERCEDEZ GLE 580 C-Pillar RH</v>
      </c>
      <c r="AY19" s="6" t="str">
        <v>MERCEDEZ LE 300 Coupé C-Pillar LH</v>
      </c>
      <c r="AZ19" s="6" t="str">
        <v>MERCEDEZ LE 300 Coupé C-Pillar RH</v>
      </c>
      <c r="BA19" s="6" t="str">
        <v>BMW X7 C-Pillar LH</v>
      </c>
      <c r="BB19" s="6" t="str">
        <v>BMW X7 C-Pillar RH</v>
      </c>
      <c r="BC19" s="6" t="str">
        <v>BMW 420d Gran Coupé C-Pillar LH</v>
      </c>
      <c r="BD19" s="6" t="str">
        <v>BMW 420d Gran Coupé C-Pillar RH</v>
      </c>
      <c r="BE19" s="6" t="str">
        <v>BMW M550i xDrive C-Pillar LH</v>
      </c>
      <c r="BF19" s="6" t="str">
        <v>BMW M550i xDrive C-Pillar RH</v>
      </c>
      <c r="BG19" s="6" t="str">
        <v>MERCEDEZ GLE 53 IP LHD</v>
      </c>
      <c r="BH19" s="6" t="str">
        <v>MERCEDEZ GLE 53 IP RHD</v>
      </c>
      <c r="BI19" s="6" t="str">
        <v>MERCEDEZ GLE 580 IP LHD</v>
      </c>
      <c r="BJ19" s="6" t="str">
        <v>MERCEDEZ GLE 580 IP RHD</v>
      </c>
      <c r="BK19" s="6" t="str">
        <v>MERCEDEZ LE 300 Coupé IP LHD</v>
      </c>
      <c r="BL19" s="6" t="str">
        <v>MERCEDEZ LE 300 Coupé IP RHD</v>
      </c>
      <c r="BM19" s="6" t="str">
        <v>BMW X7 IP LHD</v>
      </c>
      <c r="BN19" s="6" t="str">
        <v>BMW X7 IP RHD</v>
      </c>
      <c r="BO19" s="6" t="str">
        <v>BMW 420d Gran Coupé IP LHD</v>
      </c>
      <c r="BP19" s="6" t="str">
        <v>BMW 420d Gran Coupé IP RHD</v>
      </c>
      <c r="BQ19" s="6" t="str">
        <v>BMW M550i xDrive IP LHD</v>
      </c>
      <c r="BR19" s="6" t="str">
        <v>BMW M550i xDrive IP RHD</v>
      </c>
      <c r="BS19" s="6"/>
      <c r="BT19" s="6"/>
      <c r="BU19" s="6"/>
      <c r="BV19" s="6"/>
      <c r="BW19" s="6"/>
      <c r="BX19" s="6"/>
      <c r="BY19" s="6"/>
      <c r="BZ19" s="6"/>
      <c r="CA19" s="6"/>
      <c r="CB19" s="6"/>
      <c r="CC19" s="6"/>
      <c r="CD19" s="6"/>
      <c r="CE19" s="6"/>
      <c r="CF19" s="6"/>
      <c r="CG19" s="6"/>
      <c r="CH19" s="6"/>
      <c r="CI19" s="6"/>
      <c r="CJ19" s="6"/>
      <c r="CK19" s="6"/>
      <c r="CL19" s="6"/>
      <c r="CM19" s="6"/>
      <c r="CN19" s="6"/>
      <c r="CR19" s="8" t="str" cm="1">
        <f t="array" aca="1" ref="CR19:CR24" ca="1">_xlfn.LET(
    _xlpm.product,
    CR$18,
    _xlpm.line_list,_xlfn.ANCHORARRAY(
    $P$20),
    _xlpm.range,
    INDIRECT("$Q$20:$" &amp; SUBSTITUTE(ADDRESS(1,COLUMNS(TRANSPOSE(tbl_products_lines[])) + 16,4),1,"") &amp; "$26"),
    _xlpm.check,
    _xlfn.XLOOKUP(_xlpm.product,_xlfn.ANCHORARRAY( $Q$19), _xlpm.range),
    IFERROR(_xlfn._xlws.FILTER(_xlpm.line_list, _xlpm.check="X"), "")
)</f>
        <v>A</v>
      </c>
      <c r="CS19" s="8" t="str" cm="1">
        <f t="array" aca="1" ref="CS19:CS24" ca="1">_xlfn.LET(
    _xlpm.product,
    CS$18,
    _xlpm.line_list,_xlfn.ANCHORARRAY(
    $P$20),
    _xlpm.range,
    INDIRECT("$Q$20:$" &amp; SUBSTITUTE(ADDRESS(1,COLUMNS(TRANSPOSE(tbl_products_lines[])) + 16,4),1,"") &amp; "$26"),
    _xlpm.check,
    _xlfn.XLOOKUP(_xlpm.product,_xlfn.ANCHORARRAY( $Q$19), _xlpm.range),
    IFERROR(_xlfn._xlws.FILTER(_xlpm.line_list, _xlpm.check="X"), "")
)</f>
        <v>A</v>
      </c>
      <c r="CT19" s="8" t="str" cm="1">
        <f t="array" aca="1" ref="CT19:CT21" ca="1">_xlfn.LET(
    _xlpm.product,
    CT$18,
    _xlpm.line_list,_xlfn.ANCHORARRAY(
    $P$20),
    _xlpm.range,
    INDIRECT("$Q$20:$" &amp; SUBSTITUTE(ADDRESS(1,COLUMNS(TRANSPOSE(tbl_products_lines[])) + 16,4),1,"") &amp; "$26"),
    _xlpm.check,
    _xlfn.XLOOKUP(_xlpm.product,_xlfn.ANCHORARRAY( $Q$19), _xlpm.range),
    IFERROR(_xlfn._xlws.FILTER(_xlpm.line_list, _xlpm.check="X"), "")
)</f>
        <v>D</v>
      </c>
      <c r="CU19" s="8" t="str" cm="1">
        <f t="array" aca="1" ref="CU19:CU24" ca="1">_xlfn.LET(
    _xlpm.product,
    CU$18,
    _xlpm.line_list,_xlfn.ANCHORARRAY(
    $P$20),
    _xlpm.range,
    INDIRECT("$Q$20:$" &amp; SUBSTITUTE(ADDRESS(1,COLUMNS(TRANSPOSE(tbl_products_lines[])) + 16,4),1,"") &amp; "$26"),
    _xlpm.check,
    _xlfn.XLOOKUP(_xlpm.product,_xlfn.ANCHORARRAY( $Q$19), _xlpm.range),
    IFERROR(_xlfn._xlws.FILTER(_xlpm.line_list, _xlpm.check="X"), "")
)</f>
        <v>A</v>
      </c>
      <c r="CV19" s="8" t="str" cm="1">
        <f t="array" aca="1" ref="CV19:CV24" ca="1">_xlfn.LET(
    _xlpm.product,
    CV$18,
    _xlpm.line_list,_xlfn.ANCHORARRAY(
    $P$20),
    _xlpm.range,
    INDIRECT("$Q$20:$" &amp; SUBSTITUTE(ADDRESS(1,COLUMNS(TRANSPOSE(tbl_products_lines[])) + 16,4),1,"") &amp; "$26"),
    _xlpm.check,
    _xlfn.XLOOKUP(_xlpm.product,_xlfn.ANCHORARRAY( $Q$19), _xlpm.range),
    IFERROR(_xlfn._xlws.FILTER(_xlpm.line_list, _xlpm.check="X"), "")
)</f>
        <v>A</v>
      </c>
      <c r="CW19" s="8" t="str" cm="1">
        <f t="array" aca="1" ref="CW19:CW21" ca="1">_xlfn.LET(
    _xlpm.product,
    CW$18,
    _xlpm.line_list,_xlfn.ANCHORARRAY(
    $P$20),
    _xlpm.range,
    INDIRECT("$Q$20:$" &amp; SUBSTITUTE(ADDRESS(1,COLUMNS(TRANSPOSE(tbl_products_lines[])) + 16,4),1,"") &amp; "$26"),
    _xlpm.check,
    _xlfn.XLOOKUP(_xlpm.product,_xlfn.ANCHORARRAY( $Q$19), _xlpm.range),
    IFERROR(_xlfn._xlws.FILTER(_xlpm.line_list, _xlpm.check="X"), "")
)</f>
        <v>D</v>
      </c>
      <c r="CX19" s="8" t="str" cm="1">
        <f t="array" aca="1" ref="CX19:CX24" ca="1">_xlfn.LET(
    _xlpm.product,
    CX$18,
    _xlpm.line_list,_xlfn.ANCHORARRAY(
    $P$20),
    _xlpm.range,
    INDIRECT("$Q$20:$" &amp; SUBSTITUTE(ADDRESS(1,COLUMNS(TRANSPOSE(tbl_products_lines[])) + 16,4),1,"") &amp; "$26"),
    _xlpm.check,
    _xlfn.XLOOKUP(_xlpm.product,_xlfn.ANCHORARRAY( $Q$19), _xlpm.range),
    IFERROR(_xlfn._xlws.FILTER(_xlpm.line_list, _xlpm.check="X"), "")
)</f>
        <v>A</v>
      </c>
      <c r="CY19" s="8" t="str" cm="1">
        <f t="array" aca="1" ref="CY19:CY24" ca="1">_xlfn.LET(
    _xlpm.product,
    CY$18,
    _xlpm.line_list,_xlfn.ANCHORARRAY(
    $P$20),
    _xlpm.range,
    INDIRECT("$Q$20:$" &amp; SUBSTITUTE(ADDRESS(1,COLUMNS(TRANSPOSE(tbl_products_lines[])) + 16,4),1,"") &amp; "$26"),
    _xlpm.check,
    _xlfn.XLOOKUP(_xlpm.product,_xlfn.ANCHORARRAY( $Q$19), _xlpm.range),
    IFERROR(_xlfn._xlws.FILTER(_xlpm.line_list, _xlpm.check="X"), "")
)</f>
        <v>A</v>
      </c>
      <c r="CZ19" s="8" t="str" cm="1">
        <f t="array" aca="1" ref="CZ19:CZ21" ca="1">_xlfn.LET(
    _xlpm.product,
    CZ$18,
    _xlpm.line_list,_xlfn.ANCHORARRAY(
    $P$20),
    _xlpm.range,
    INDIRECT("$Q$20:$" &amp; SUBSTITUTE(ADDRESS(1,COLUMNS(TRANSPOSE(tbl_products_lines[])) + 16,4),1,"") &amp; "$26"),
    _xlpm.check,
    _xlfn.XLOOKUP(_xlpm.product,_xlfn.ANCHORARRAY( $Q$19), _xlpm.range),
    IFERROR(_xlfn._xlws.FILTER(_xlpm.line_list, _xlpm.check="X"), "")
)</f>
        <v>D</v>
      </c>
      <c r="DA19" s="8" t="str" cm="1">
        <f t="array" aca="1" ref="DA19:DA20" ca="1">_xlfn.LET(
    _xlpm.product,
    DA$18,
    _xlpm.line_list,_xlfn.ANCHORARRAY(
    $P$20),
    _xlpm.range,
    INDIRECT("$Q$20:$" &amp; SUBSTITUTE(ADDRESS(1,COLUMNS(TRANSPOSE(tbl_products_lines[])) + 16,4),1,"") &amp; "$26"),
    _xlpm.check,
    _xlfn.XLOOKUP(_xlpm.product,_xlfn.ANCHORARRAY( $Q$19), _xlpm.range),
    IFERROR(_xlfn._xlws.FILTER(_xlpm.line_list, _xlpm.check="X"), "")
)</f>
        <v>E</v>
      </c>
      <c r="DB19" s="8" t="str" cm="1">
        <f t="array" aca="1" ref="DB19:DB22" ca="1">_xlfn.LET(
    _xlpm.product,
    DB$18,
    _xlpm.line_list,_xlfn.ANCHORARRAY(
    $P$20),
    _xlpm.range,
    INDIRECT("$Q$20:$" &amp; SUBSTITUTE(ADDRESS(1,COLUMNS(TRANSPOSE(tbl_products_lines[])) + 16,4),1,"") &amp; "$26"),
    _xlpm.check,
    _xlfn.XLOOKUP(_xlpm.product,_xlfn.ANCHORARRAY( $Q$19), _xlpm.range),
    IFERROR(_xlfn._xlws.FILTER(_xlpm.line_list, _xlpm.check="X"), "")
)</f>
        <v>C</v>
      </c>
      <c r="DC19" s="8" t="str" cm="1">
        <f t="array" aca="1" ref="DC19:DC21" ca="1">_xlfn.LET(
    _xlpm.product,
    DC$18,
    _xlpm.line_list,_xlfn.ANCHORARRAY(
    $P$20),
    _xlpm.range,
    INDIRECT("$Q$20:$" &amp; SUBSTITUTE(ADDRESS(1,COLUMNS(TRANSPOSE(tbl_products_lines[])) + 16,4),1,"") &amp; "$26"),
    _xlpm.check,
    _xlfn.XLOOKUP(_xlpm.product,_xlfn.ANCHORARRAY( $Q$19), _xlpm.range),
    IFERROR(_xlfn._xlws.FILTER(_xlpm.line_list, _xlpm.check="X"), "")
)</f>
        <v>D</v>
      </c>
      <c r="DD19" s="8" t="str" cm="1">
        <f t="array" aca="1" ref="DD19:DD24" ca="1">_xlfn.LET(
    _xlpm.product,
    DD$18,
    _xlpm.line_list,_xlfn.ANCHORARRAY(
    $P$20),
    _xlpm.range,
    INDIRECT("$Q$20:$" &amp; SUBSTITUTE(ADDRESS(1,COLUMNS(TRANSPOSE(tbl_products_lines[])) + 16,4),1,"") &amp; "$26"),
    _xlpm.check,
    _xlfn.XLOOKUP(_xlpm.product,_xlfn.ANCHORARRAY( $Q$19), _xlpm.range),
    IFERROR(_xlfn._xlws.FILTER(_xlpm.line_list, _xlpm.check="X"), "")
)</f>
        <v>A</v>
      </c>
      <c r="DE19" s="8" t="str" cm="1">
        <f t="array" aca="1" ref="DE19:DE24" ca="1">_xlfn.LET(
    _xlpm.product,
    DE$18,
    _xlpm.line_list,_xlfn.ANCHORARRAY(
    $P$20),
    _xlpm.range,
    INDIRECT("$Q$20:$" &amp; SUBSTITUTE(ADDRESS(1,COLUMNS(TRANSPOSE(tbl_products_lines[])) + 16,4),1,"") &amp; "$26"),
    _xlpm.check,
    _xlfn.XLOOKUP(_xlpm.product,_xlfn.ANCHORARRAY( $Q$19), _xlpm.range),
    IFERROR(_xlfn._xlws.FILTER(_xlpm.line_list, _xlpm.check="X"), "")
)</f>
        <v>A</v>
      </c>
      <c r="DF19" s="8" t="str" cm="1">
        <f t="array" aca="1" ref="DF19:DF21" ca="1">_xlfn.LET(
    _xlpm.product,
    DF$18,
    _xlpm.line_list,_xlfn.ANCHORARRAY(
    $P$20),
    _xlpm.range,
    INDIRECT("$Q$20:$" &amp; SUBSTITUTE(ADDRESS(1,COLUMNS(TRANSPOSE(tbl_products_lines[])) + 16,4),1,"") &amp; "$26"),
    _xlpm.check,
    _xlfn.XLOOKUP(_xlpm.product,_xlfn.ANCHORARRAY( $Q$19), _xlpm.range),
    IFERROR(_xlfn._xlws.FILTER(_xlpm.line_list, _xlpm.check="X"), "")
)</f>
        <v>D</v>
      </c>
      <c r="DG19" s="8" t="str" cm="1">
        <f t="array" aca="1" ref="DG19:DG20" ca="1">_xlfn.LET(
    _xlpm.product,
    DG$18,
    _xlpm.line_list,_xlfn.ANCHORARRAY(
    $P$20),
    _xlpm.range,
    INDIRECT("$Q$20:$" &amp; SUBSTITUTE(ADDRESS(1,COLUMNS(TRANSPOSE(tbl_products_lines[])) + 16,4),1,"") &amp; "$26"),
    _xlpm.check,
    _xlfn.XLOOKUP(_xlpm.product,_xlfn.ANCHORARRAY( $Q$19), _xlpm.range),
    IFERROR(_xlfn._xlws.FILTER(_xlpm.line_list, _xlpm.check="X"), "")
)</f>
        <v>E</v>
      </c>
      <c r="DH19" s="8" t="str" cm="1">
        <f t="array" aca="1" ref="DH19:DH22" ca="1">_xlfn.LET(
    _xlpm.product,
    DH$18,
    _xlpm.line_list,_xlfn.ANCHORARRAY(
    $P$20),
    _xlpm.range,
    INDIRECT("$Q$20:$" &amp; SUBSTITUTE(ADDRESS(1,COLUMNS(TRANSPOSE(tbl_products_lines[])) + 16,4),1,"") &amp; "$26"),
    _xlpm.check,
    _xlfn.XLOOKUP(_xlpm.product,_xlfn.ANCHORARRAY( $Q$19), _xlpm.range),
    IFERROR(_xlfn._xlws.FILTER(_xlpm.line_list, _xlpm.check="X"), "")
)</f>
        <v>C</v>
      </c>
      <c r="DI19" s="8" t="str" cm="1">
        <f t="array" aca="1" ref="DI19:DI21" ca="1">_xlfn.LET(
    _xlpm.product,
    DI$18,
    _xlpm.line_list,_xlfn.ANCHORARRAY(
    $P$20),
    _xlpm.range,
    INDIRECT("$Q$20:$" &amp; SUBSTITUTE(ADDRESS(1,COLUMNS(TRANSPOSE(tbl_products_lines[])) + 16,4),1,"") &amp; "$26"),
    _xlpm.check,
    _xlfn.XLOOKUP(_xlpm.product,_xlfn.ANCHORARRAY( $Q$19), _xlpm.range),
    IFERROR(_xlfn._xlws.FILTER(_xlpm.line_list, _xlpm.check="X"), "")
)</f>
        <v>D</v>
      </c>
      <c r="DJ19" s="8" t="str" cm="1">
        <f t="array" aca="1" ref="DJ19:DJ20" ca="1">_xlfn.LET(
    _xlpm.product,
    DJ$18,
    _xlpm.line_list,_xlfn.ANCHORARRAY(
    $P$20),
    _xlpm.range,
    INDIRECT("$Q$20:$" &amp; SUBSTITUTE(ADDRESS(1,COLUMNS(TRANSPOSE(tbl_products_lines[])) + 16,4),1,"") &amp; "$26"),
    _xlpm.check,
    _xlfn.XLOOKUP(_xlpm.product,_xlfn.ANCHORARRAY( $Q$19), _xlpm.range),
    IFERROR(_xlfn._xlws.FILTER(_xlpm.line_list, _xlpm.check="X"), "")
)</f>
        <v>E</v>
      </c>
      <c r="DK19" s="8" t="str" cm="1">
        <f t="array" aca="1" ref="DK19:DK20" ca="1">_xlfn.LET(
    _xlpm.product,
    DK$18,
    _xlpm.line_list,_xlfn.ANCHORARRAY(
    $P$20),
    _xlpm.range,
    INDIRECT("$Q$20:$" &amp; SUBSTITUTE(ADDRESS(1,COLUMNS(TRANSPOSE(tbl_products_lines[])) + 16,4),1,"") &amp; "$26"),
    _xlpm.check,
    _xlfn.XLOOKUP(_xlpm.product,_xlfn.ANCHORARRAY( $Q$19), _xlpm.range),
    IFERROR(_xlfn._xlws.FILTER(_xlpm.line_list, _xlpm.check="X"), "")
)</f>
        <v>E</v>
      </c>
      <c r="DL19" s="8" t="str" cm="1">
        <f t="array" aca="1" ref="DL19:DL22" ca="1">_xlfn.LET(
    _xlpm.product,
    DL$18,
    _xlpm.line_list,_xlfn.ANCHORARRAY(
    $P$20),
    _xlpm.range,
    INDIRECT("$Q$20:$" &amp; SUBSTITUTE(ADDRESS(1,COLUMNS(TRANSPOSE(tbl_products_lines[])) + 16,4),1,"") &amp; "$26"),
    _xlpm.check,
    _xlfn.XLOOKUP(_xlpm.product,_xlfn.ANCHORARRAY( $Q$19), _xlpm.range),
    IFERROR(_xlfn._xlws.FILTER(_xlpm.line_list, _xlpm.check="X"), "")
)</f>
        <v>C</v>
      </c>
      <c r="DM19" s="8" t="str" cm="1">
        <f t="array" aca="1" ref="DM19:DM22" ca="1">_xlfn.LET(
    _xlpm.product,
    DM$18,
    _xlpm.line_list,_xlfn.ANCHORARRAY(
    $P$20),
    _xlpm.range,
    INDIRECT("$Q$20:$" &amp; SUBSTITUTE(ADDRESS(1,COLUMNS(TRANSPOSE(tbl_products_lines[])) + 16,4),1,"") &amp; "$26"),
    _xlpm.check,
    _xlfn.XLOOKUP(_xlpm.product,_xlfn.ANCHORARRAY( $Q$19), _xlpm.range),
    IFERROR(_xlfn._xlws.FILTER(_xlpm.line_list, _xlpm.check="X"), "")
)</f>
        <v>C</v>
      </c>
      <c r="DN19" s="8" t="str" cm="1">
        <f t="array" aca="1" ref="DN19:DN21" ca="1">_xlfn.LET(
    _xlpm.product,
    DN$18,
    _xlpm.line_list,_xlfn.ANCHORARRAY(
    $P$20),
    _xlpm.range,
    INDIRECT("$Q$20:$" &amp; SUBSTITUTE(ADDRESS(1,COLUMNS(TRANSPOSE(tbl_products_lines[])) + 16,4),1,"") &amp; "$26"),
    _xlpm.check,
    _xlfn.XLOOKUP(_xlpm.product,_xlfn.ANCHORARRAY( $Q$19), _xlpm.range),
    IFERROR(_xlfn._xlws.FILTER(_xlpm.line_list, _xlpm.check="X"), "")
)</f>
        <v>D</v>
      </c>
      <c r="DO19" s="8" t="str" cm="1">
        <f t="array" aca="1" ref="DO19:DO21" ca="1">_xlfn.LET(
    _xlpm.product,
    DO$18,
    _xlpm.line_list,_xlfn.ANCHORARRAY(
    $P$20),
    _xlpm.range,
    INDIRECT("$Q$20:$" &amp; SUBSTITUTE(ADDRESS(1,COLUMNS(TRANSPOSE(tbl_products_lines[])) + 16,4),1,"") &amp; "$26"),
    _xlpm.check,
    _xlfn.XLOOKUP(_xlpm.product,_xlfn.ANCHORARRAY( $Q$19), _xlpm.range),
    IFERROR(_xlfn._xlws.FILTER(_xlpm.line_list, _xlpm.check="X"), "")
)</f>
        <v>D</v>
      </c>
      <c r="DP19" s="8" t="str" cm="1">
        <f t="array" aca="1" ref="DP19:DP20" ca="1">_xlfn.LET(
    _xlpm.product,
    DP$18,
    _xlpm.line_list,_xlfn.ANCHORARRAY(
    $P$20),
    _xlpm.range,
    INDIRECT("$Q$20:$" &amp; SUBSTITUTE(ADDRESS(1,COLUMNS(TRANSPOSE(tbl_products_lines[])) + 16,4),1,"") &amp; "$26"),
    _xlpm.check,
    _xlfn.XLOOKUP(_xlpm.product,_xlfn.ANCHORARRAY( $Q$19), _xlpm.range),
    IFERROR(_xlfn._xlws.FILTER(_xlpm.line_list, _xlpm.check="X"), "")
)</f>
        <v>E</v>
      </c>
      <c r="DQ19" s="8" t="str" cm="1">
        <f t="array" aca="1" ref="DQ19:DQ20" ca="1">_xlfn.LET(
    _xlpm.product,
    DQ$18,
    _xlpm.line_list,_xlfn.ANCHORARRAY(
    $P$20),
    _xlpm.range,
    INDIRECT("$Q$20:$" &amp; SUBSTITUTE(ADDRESS(1,COLUMNS(TRANSPOSE(tbl_products_lines[])) + 16,4),1,"") &amp; "$26"),
    _xlpm.check,
    _xlfn.XLOOKUP(_xlpm.product,_xlfn.ANCHORARRAY( $Q$19), _xlpm.range),
    IFERROR(_xlfn._xlws.FILTER(_xlpm.line_list, _xlpm.check="X"), "")
)</f>
        <v>E</v>
      </c>
      <c r="DR19" s="8" t="str" cm="1">
        <f t="array" aca="1" ref="DR19:DR22" ca="1">_xlfn.LET(
    _xlpm.product,
    DR$18,
    _xlpm.line_list,_xlfn.ANCHORARRAY(
    $P$20),
    _xlpm.range,
    INDIRECT("$Q$20:$" &amp; SUBSTITUTE(ADDRESS(1,COLUMNS(TRANSPOSE(tbl_products_lines[])) + 16,4),1,"") &amp; "$26"),
    _xlpm.check,
    _xlfn.XLOOKUP(_xlpm.product,_xlfn.ANCHORARRAY( $Q$19), _xlpm.range),
    IFERROR(_xlfn._xlws.FILTER(_xlpm.line_list, _xlpm.check="X"), "")
)</f>
        <v>C</v>
      </c>
      <c r="DS19" s="8" t="str" cm="1">
        <f t="array" aca="1" ref="DS19:DS22" ca="1">_xlfn.LET(
    _xlpm.product,
    DS$18,
    _xlpm.line_list,_xlfn.ANCHORARRAY(
    $P$20),
    _xlpm.range,
    INDIRECT("$Q$20:$" &amp; SUBSTITUTE(ADDRESS(1,COLUMNS(TRANSPOSE(tbl_products_lines[])) + 16,4),1,"") &amp; "$26"),
    _xlpm.check,
    _xlfn.XLOOKUP(_xlpm.product,_xlfn.ANCHORARRAY( $Q$19), _xlpm.range),
    IFERROR(_xlfn._xlws.FILTER(_xlpm.line_list, _xlpm.check="X"), "")
)</f>
        <v>C</v>
      </c>
      <c r="DT19" s="8" t="str" cm="1">
        <f t="array" aca="1" ref="DT19:DT21" ca="1">_xlfn.LET(
    _xlpm.product,
    DT$18,
    _xlpm.line_list,_xlfn.ANCHORARRAY(
    $P$20),
    _xlpm.range,
    INDIRECT("$Q$20:$" &amp; SUBSTITUTE(ADDRESS(1,COLUMNS(TRANSPOSE(tbl_products_lines[])) + 16,4),1,"") &amp; "$26"),
    _xlpm.check,
    _xlfn.XLOOKUP(_xlpm.product,_xlfn.ANCHORARRAY( $Q$19), _xlpm.range),
    IFERROR(_xlfn._xlws.FILTER(_xlpm.line_list, _xlpm.check="X"), "")
)</f>
        <v>D</v>
      </c>
      <c r="DU19" s="8" t="str" cm="1">
        <f t="array" aca="1" ref="DU19:DU21" ca="1">_xlfn.LET(
    _xlpm.product,
    DU$18,
    _xlpm.line_list,_xlfn.ANCHORARRAY(
    $P$20),
    _xlpm.range,
    INDIRECT("$Q$20:$" &amp; SUBSTITUTE(ADDRESS(1,COLUMNS(TRANSPOSE(tbl_products_lines[])) + 16,4),1,"") &amp; "$26"),
    _xlpm.check,
    _xlfn.XLOOKUP(_xlpm.product,_xlfn.ANCHORARRAY( $Q$19), _xlpm.range),
    IFERROR(_xlfn._xlws.FILTER(_xlpm.line_list, _xlpm.check="X"), "")
)</f>
        <v>D</v>
      </c>
      <c r="DV19" s="8" t="str" cm="1">
        <f t="array" aca="1" ref="DV19:DV24" ca="1">_xlfn.LET(
    _xlpm.product,
    DV$18,
    _xlpm.line_list,_xlfn.ANCHORARRAY(
    $P$20),
    _xlpm.range,
    INDIRECT("$Q$20:$" &amp; SUBSTITUTE(ADDRESS(1,COLUMNS(TRANSPOSE(tbl_products_lines[])) + 16,4),1,"") &amp; "$26"),
    _xlpm.check,
    _xlfn.XLOOKUP(_xlpm.product,_xlfn.ANCHORARRAY( $Q$19), _xlpm.range),
    IFERROR(_xlfn._xlws.FILTER(_xlpm.line_list, _xlpm.check="X"), "")
)</f>
        <v>A</v>
      </c>
      <c r="DW19" s="8" t="str" cm="1">
        <f t="array" aca="1" ref="DW19:DW24" ca="1">_xlfn.LET(
    _xlpm.product,
    DW$18,
    _xlpm.line_list,_xlfn.ANCHORARRAY(
    $P$20),
    _xlpm.range,
    INDIRECT("$Q$20:$" &amp; SUBSTITUTE(ADDRESS(1,COLUMNS(TRANSPOSE(tbl_products_lines[])) + 16,4),1,"") &amp; "$26"),
    _xlpm.check,
    _xlfn.XLOOKUP(_xlpm.product,_xlfn.ANCHORARRAY( $Q$19), _xlpm.range),
    IFERROR(_xlfn._xlws.FILTER(_xlpm.line_list, _xlpm.check="X"), "")
)</f>
        <v>A</v>
      </c>
      <c r="DX19" s="8" t="str" cm="1">
        <f t="array" aca="1" ref="DX19:DX24" ca="1">_xlfn.LET(
    _xlpm.product,
    DX$18,
    _xlpm.line_list,_xlfn.ANCHORARRAY(
    $P$20),
    _xlpm.range,
    INDIRECT("$Q$20:$" &amp; SUBSTITUTE(ADDRESS(1,COLUMNS(TRANSPOSE(tbl_products_lines[])) + 16,4),1,"") &amp; "$26"),
    _xlpm.check,
    _xlfn.XLOOKUP(_xlpm.product,_xlfn.ANCHORARRAY( $Q$19), _xlpm.range),
    IFERROR(_xlfn._xlws.FILTER(_xlpm.line_list, _xlpm.check="X"), "")
)</f>
        <v>A</v>
      </c>
      <c r="DY19" s="8" t="str" cm="1">
        <f t="array" aca="1" ref="DY19:DY24" ca="1">_xlfn.LET(
    _xlpm.product,
    DY$18,
    _xlpm.line_list,_xlfn.ANCHORARRAY(
    $P$20),
    _xlpm.range,
    INDIRECT("$Q$20:$" &amp; SUBSTITUTE(ADDRESS(1,COLUMNS(TRANSPOSE(tbl_products_lines[])) + 16,4),1,"") &amp; "$26"),
    _xlpm.check,
    _xlfn.XLOOKUP(_xlpm.product,_xlfn.ANCHORARRAY( $Q$19), _xlpm.range),
    IFERROR(_xlfn._xlws.FILTER(_xlpm.line_list, _xlpm.check="X"), "")
)</f>
        <v>A</v>
      </c>
      <c r="DZ19" s="8" t="str" cm="1">
        <f t="array" aca="1" ref="DZ19:DZ22" ca="1">_xlfn.LET(
    _xlpm.product,
    DZ$18,
    _xlpm.line_list,_xlfn.ANCHORARRAY(
    $P$20),
    _xlpm.range,
    INDIRECT("$Q$20:$" &amp; SUBSTITUTE(ADDRESS(1,COLUMNS(TRANSPOSE(tbl_products_lines[])) + 16,4),1,"") &amp; "$26"),
    _xlpm.check,
    _xlfn.XLOOKUP(_xlpm.product,_xlfn.ANCHORARRAY( $Q$19), _xlpm.range),
    IFERROR(_xlfn._xlws.FILTER(_xlpm.line_list, _xlpm.check="X"), "")
)</f>
        <v>C</v>
      </c>
      <c r="EA19" s="8" t="str" cm="1">
        <f t="array" aca="1" ref="EA19:EA22" ca="1">_xlfn.LET(
    _xlpm.product,
    EA$18,
    _xlpm.line_list,_xlfn.ANCHORARRAY(
    $P$20),
    _xlpm.range,
    INDIRECT("$Q$20:$" &amp; SUBSTITUTE(ADDRESS(1,COLUMNS(TRANSPOSE(tbl_products_lines[])) + 16,4),1,"") &amp; "$26"),
    _xlpm.check,
    _xlfn.XLOOKUP(_xlpm.product,_xlfn.ANCHORARRAY( $Q$19), _xlpm.range),
    IFERROR(_xlfn._xlws.FILTER(_xlpm.line_list, _xlpm.check="X"), "")
)</f>
        <v>C</v>
      </c>
      <c r="EB19" s="8" t="str" cm="1">
        <f t="array" aca="1" ref="EB19:EB20" ca="1">_xlfn.LET(
    _xlpm.product,
    EB$18,
    _xlpm.line_list,_xlfn.ANCHORARRAY(
    $P$20),
    _xlpm.range,
    INDIRECT("$Q$20:$" &amp; SUBSTITUTE(ADDRESS(1,COLUMNS(TRANSPOSE(tbl_products_lines[])) + 16,4),1,"") &amp; "$26"),
    _xlpm.check,
    _xlfn.XLOOKUP(_xlpm.product,_xlfn.ANCHORARRAY( $Q$19), _xlpm.range),
    IFERROR(_xlfn._xlws.FILTER(_xlpm.line_list, _xlpm.check="X"), "")
)</f>
        <v>E</v>
      </c>
      <c r="EC19" s="8" t="str" cm="1">
        <f t="array" aca="1" ref="EC19:EC20" ca="1">_xlfn.LET(
    _xlpm.product,
    EC$18,
    _xlpm.line_list,_xlfn.ANCHORARRAY(
    $P$20),
    _xlpm.range,
    INDIRECT("$Q$20:$" &amp; SUBSTITUTE(ADDRESS(1,COLUMNS(TRANSPOSE(tbl_products_lines[])) + 16,4),1,"") &amp; "$26"),
    _xlpm.check,
    _xlfn.XLOOKUP(_xlpm.product,_xlfn.ANCHORARRAY( $Q$19), _xlpm.range),
    IFERROR(_xlfn._xlws.FILTER(_xlpm.line_list, _xlpm.check="X"), "")
)</f>
        <v>E</v>
      </c>
      <c r="ED19" s="8" t="str" cm="1">
        <f t="array" aca="1" ref="ED19:ED22" ca="1">_xlfn.LET(
    _xlpm.product,
    ED$18,
    _xlpm.line_list,_xlfn.ANCHORARRAY(
    $P$20),
    _xlpm.range,
    INDIRECT("$Q$20:$" &amp; SUBSTITUTE(ADDRESS(1,COLUMNS(TRANSPOSE(tbl_products_lines[])) + 16,4),1,"") &amp; "$26"),
    _xlpm.check,
    _xlfn.XLOOKUP(_xlpm.product,_xlfn.ANCHORARRAY( $Q$19), _xlpm.range),
    IFERROR(_xlfn._xlws.FILTER(_xlpm.line_list, _xlpm.check="X"), "")
)</f>
        <v>C</v>
      </c>
      <c r="EE19" s="8" t="str" cm="1">
        <f t="array" aca="1" ref="EE19:EE22" ca="1">_xlfn.LET(
    _xlpm.product,
    EE$18,
    _xlpm.line_list,_xlfn.ANCHORARRAY(
    $P$20),
    _xlpm.range,
    INDIRECT("$Q$20:$" &amp; SUBSTITUTE(ADDRESS(1,COLUMNS(TRANSPOSE(tbl_products_lines[])) + 16,4),1,"") &amp; "$26"),
    _xlpm.check,
    _xlfn.XLOOKUP(_xlpm.product,_xlfn.ANCHORARRAY( $Q$19), _xlpm.range),
    IFERROR(_xlfn._xlws.FILTER(_xlpm.line_list, _xlpm.check="X"), "")
)</f>
        <v>C</v>
      </c>
      <c r="EF19" s="8" t="str" cm="1">
        <f t="array" aca="1" ref="EF19:EF21" ca="1">_xlfn.LET(
    _xlpm.product,
    EF$18,
    _xlpm.line_list,_xlfn.ANCHORARRAY(
    $P$20),
    _xlpm.range,
    INDIRECT("$Q$20:$" &amp; SUBSTITUTE(ADDRESS(1,COLUMNS(TRANSPOSE(tbl_products_lines[])) + 16,4),1,"") &amp; "$26"),
    _xlpm.check,
    _xlfn.XLOOKUP(_xlpm.product,_xlfn.ANCHORARRAY( $Q$19), _xlpm.range),
    IFERROR(_xlfn._xlws.FILTER(_xlpm.line_list, _xlpm.check="X"), "")
)</f>
        <v>D</v>
      </c>
      <c r="EG19" s="8" t="str" cm="1">
        <f t="array" aca="1" ref="EG19:EG21" ca="1">_xlfn.LET(
    _xlpm.product,
    EG$18,
    _xlpm.line_list,_xlfn.ANCHORARRAY(
    $P$20),
    _xlpm.range,
    INDIRECT("$Q$20:$" &amp; SUBSTITUTE(ADDRESS(1,COLUMNS(TRANSPOSE(tbl_products_lines[])) + 16,4),1,"") &amp; "$26"),
    _xlpm.check,
    _xlfn.XLOOKUP(_xlpm.product,_xlfn.ANCHORARRAY( $Q$19), _xlpm.range),
    IFERROR(_xlfn._xlws.FILTER(_xlpm.line_list, _xlpm.check="X"), "")
)</f>
        <v>D</v>
      </c>
      <c r="EH19" s="8" t="str" cm="1">
        <f t="array" aca="1" ref="EH19:EH25" ca="1">_xlfn.LET(
    _xlpm.product,
    EH$18,
    _xlpm.line_list,_xlfn.ANCHORARRAY(
    $P$20),
    _xlpm.range,
    INDIRECT("$Q$20:$" &amp; SUBSTITUTE(ADDRESS(1,COLUMNS(TRANSPOSE(tbl_products_lines[])) + 16,4),1,"") &amp; "$26"),
    _xlpm.check,
    _xlfn.XLOOKUP(_xlpm.product,_xlfn.ANCHORARRAY( $Q$19), _xlpm.range),
    IFERROR(_xlfn._xlws.FILTER(_xlpm.line_list, _xlpm.check="X"), "")
)</f>
        <v>A</v>
      </c>
      <c r="EI19" s="8" t="str" cm="1">
        <f t="array" aca="1" ref="EI19:EI25" ca="1">_xlfn.LET(
    _xlpm.product,
    EI$18,
    _xlpm.line_list,_xlfn.ANCHORARRAY(
    $P$20),
    _xlpm.range,
    INDIRECT("$Q$20:$" &amp; SUBSTITUTE(ADDRESS(1,COLUMNS(TRANSPOSE(tbl_products_lines[])) + 16,4),1,"") &amp; "$26"),
    _xlpm.check,
    _xlfn.XLOOKUP(_xlpm.product,_xlfn.ANCHORARRAY( $Q$19), _xlpm.range),
    IFERROR(_xlfn._xlws.FILTER(_xlpm.line_list, _xlpm.check="X"), "")
)</f>
        <v>A</v>
      </c>
      <c r="EJ19" s="8" t="str" cm="1">
        <f t="array" aca="1" ref="EJ19:EJ25" ca="1">_xlfn.LET(
    _xlpm.product,
    EJ$18,
    _xlpm.line_list,_xlfn.ANCHORARRAY(
    $P$20),
    _xlpm.range,
    INDIRECT("$Q$20:$" &amp; SUBSTITUTE(ADDRESS(1,COLUMNS(TRANSPOSE(tbl_products_lines[])) + 16,4),1,"") &amp; "$26"),
    _xlpm.check,
    _xlfn.XLOOKUP(_xlpm.product,_xlfn.ANCHORARRAY( $Q$19), _xlpm.range),
    IFERROR(_xlfn._xlws.FILTER(_xlpm.line_list, _xlpm.check="X"), "")
)</f>
        <v>A</v>
      </c>
      <c r="EK19" s="8" t="str" cm="1">
        <f t="array" aca="1" ref="EK19:EK25" ca="1">_xlfn.LET(
    _xlpm.product,
    EK$18,
    _xlpm.line_list,_xlfn.ANCHORARRAY(
    $P$20),
    _xlpm.range,
    INDIRECT("$Q$20:$" &amp; SUBSTITUTE(ADDRESS(1,COLUMNS(TRANSPOSE(tbl_products_lines[])) + 16,4),1,"") &amp; "$26"),
    _xlpm.check,
    _xlfn.XLOOKUP(_xlpm.product,_xlfn.ANCHORARRAY( $Q$19), _xlpm.range),
    IFERROR(_xlfn._xlws.FILTER(_xlpm.line_list, _xlpm.check="X"), "")
)</f>
        <v>A</v>
      </c>
      <c r="EL19" s="8" t="str" cm="1">
        <f t="array" aca="1" ref="EL19:EL23" ca="1">_xlfn.LET(
    _xlpm.product,
    EL$18,
    _xlpm.line_list,_xlfn.ANCHORARRAY(
    $P$20),
    _xlpm.range,
    INDIRECT("$Q$20:$" &amp; SUBSTITUTE(ADDRESS(1,COLUMNS(TRANSPOSE(tbl_products_lines[])) + 16,4),1,"") &amp; "$26"),
    _xlpm.check,
    _xlfn.XLOOKUP(_xlpm.product,_xlfn.ANCHORARRAY( $Q$19), _xlpm.range),
    IFERROR(_xlfn._xlws.FILTER(_xlpm.line_list, _xlpm.check="X"), "")
)</f>
        <v>C</v>
      </c>
      <c r="EM19" s="8" t="str" cm="1">
        <f t="array" aca="1" ref="EM19:EM23" ca="1">_xlfn.LET(
    _xlpm.product,
    EM$18,
    _xlpm.line_list,_xlfn.ANCHORARRAY(
    $P$20),
    _xlpm.range,
    INDIRECT("$Q$20:$" &amp; SUBSTITUTE(ADDRESS(1,COLUMNS(TRANSPOSE(tbl_products_lines[])) + 16,4),1,"") &amp; "$26"),
    _xlpm.check,
    _xlfn.XLOOKUP(_xlpm.product,_xlfn.ANCHORARRAY( $Q$19), _xlpm.range),
    IFERROR(_xlfn._xlws.FILTER(_xlpm.line_list, _xlpm.check="X"), "")
)</f>
        <v>C</v>
      </c>
      <c r="EN19" s="8" t="str" cm="1">
        <f t="array" aca="1" ref="EN19:EN21" ca="1">_xlfn.LET(
    _xlpm.product,
    EN$18,
    _xlpm.line_list,_xlfn.ANCHORARRAY(
    $P$20),
    _xlpm.range,
    INDIRECT("$Q$20:$" &amp; SUBSTITUTE(ADDRESS(1,COLUMNS(TRANSPOSE(tbl_products_lines[])) + 16,4),1,"") &amp; "$26"),
    _xlpm.check,
    _xlfn.XLOOKUP(_xlpm.product,_xlfn.ANCHORARRAY( $Q$19), _xlpm.range),
    IFERROR(_xlfn._xlws.FILTER(_xlpm.line_list, _xlpm.check="X"), "")
)</f>
        <v>E</v>
      </c>
      <c r="EO19" s="8" t="str" cm="1">
        <f t="array" aca="1" ref="EO19:EO21" ca="1">_xlfn.LET(
    _xlpm.product,
    EO$18,
    _xlpm.line_list,_xlfn.ANCHORARRAY(
    $P$20),
    _xlpm.range,
    INDIRECT("$Q$20:$" &amp; SUBSTITUTE(ADDRESS(1,COLUMNS(TRANSPOSE(tbl_products_lines[])) + 16,4),1,"") &amp; "$26"),
    _xlpm.check,
    _xlfn.XLOOKUP(_xlpm.product,_xlfn.ANCHORARRAY( $Q$19), _xlpm.range),
    IFERROR(_xlfn._xlws.FILTER(_xlpm.line_list, _xlpm.check="X"), "")
)</f>
        <v>E</v>
      </c>
      <c r="EP19" s="8" t="str" cm="1">
        <f t="array" aca="1" ref="EP19:EP23" ca="1">_xlfn.LET(
    _xlpm.product,
    EP$18,
    _xlpm.line_list,_xlfn.ANCHORARRAY(
    $P$20),
    _xlpm.range,
    INDIRECT("$Q$20:$" &amp; SUBSTITUTE(ADDRESS(1,COLUMNS(TRANSPOSE(tbl_products_lines[])) + 16,4),1,"") &amp; "$26"),
    _xlpm.check,
    _xlfn.XLOOKUP(_xlpm.product,_xlfn.ANCHORARRAY( $Q$19), _xlpm.range),
    IFERROR(_xlfn._xlws.FILTER(_xlpm.line_list, _xlpm.check="X"), "")
)</f>
        <v>C</v>
      </c>
      <c r="EQ19" s="8" t="str" cm="1">
        <f t="array" aca="1" ref="EQ19:EQ23" ca="1">_xlfn.LET(
    _xlpm.product,
    EQ$18,
    _xlpm.line_list,_xlfn.ANCHORARRAY(
    $P$20),
    _xlpm.range,
    INDIRECT("$Q$20:$" &amp; SUBSTITUTE(ADDRESS(1,COLUMNS(TRANSPOSE(tbl_products_lines[])) + 16,4),1,"") &amp; "$26"),
    _xlpm.check,
    _xlfn.XLOOKUP(_xlpm.product,_xlfn.ANCHORARRAY( $Q$19), _xlpm.range),
    IFERROR(_xlfn._xlws.FILTER(_xlpm.line_list, _xlpm.check="X"), "")
)</f>
        <v>C</v>
      </c>
      <c r="ER19" s="8" t="str" cm="1">
        <f t="array" aca="1" ref="ER19:ER21" ca="1">_xlfn.LET(
    _xlpm.product,
    ER$18,
    _xlpm.line_list,_xlfn.ANCHORARRAY(
    $P$20),
    _xlpm.range,
    INDIRECT("$Q$20:$" &amp; SUBSTITUTE(ADDRESS(1,COLUMNS(TRANSPOSE(tbl_products_lines[])) + 16,4),1,"") &amp; "$26"),
    _xlpm.check,
    _xlfn.XLOOKUP(_xlpm.product,_xlfn.ANCHORARRAY( $Q$19), _xlpm.range),
    IFERROR(_xlfn._xlws.FILTER(_xlpm.line_list, _xlpm.check="X"), "")
)</f>
        <v>E</v>
      </c>
      <c r="ES19" s="8" t="str" cm="1">
        <f t="array" aca="1" ref="ES19:ES21" ca="1">_xlfn.LET(
    _xlpm.product,
    ES$18,
    _xlpm.line_list,_xlfn.ANCHORARRAY(
    $P$20),
    _xlpm.range,
    INDIRECT("$Q$20:$" &amp; SUBSTITUTE(ADDRESS(1,COLUMNS(TRANSPOSE(tbl_products_lines[])) + 16,4),1,"") &amp; "$26"),
    _xlpm.check,
    _xlfn.XLOOKUP(_xlpm.product,_xlfn.ANCHORARRAY( $Q$19), _xlpm.range),
    IFERROR(_xlfn._xlws.FILTER(_xlpm.line_list, _xlpm.check="X"), "")
)</f>
        <v>E</v>
      </c>
      <c r="FI19" s="331"/>
    </row>
    <row r="20" spans="4:165" ht="24.95" customHeight="1" x14ac:dyDescent="0.4">
      <c r="D20" s="6" t="s">
        <v>166</v>
      </c>
      <c r="F20" s="149" t="s">
        <v>159</v>
      </c>
      <c r="G20" s="6" t="s">
        <v>168</v>
      </c>
      <c r="P20" s="6" t="str" cm="1">
        <f t="array" ref="P20:P26">tbl_versions_lines[]</f>
        <v>A</v>
      </c>
      <c r="Q20" s="2" t="s">
        <v>2</v>
      </c>
      <c r="R20" s="2" t="s">
        <v>2</v>
      </c>
      <c r="S20" s="2"/>
      <c r="T20" s="2" t="s">
        <v>2</v>
      </c>
      <c r="U20" s="2" t="s">
        <v>2</v>
      </c>
      <c r="V20" s="2"/>
      <c r="W20" s="2" t="s">
        <v>2</v>
      </c>
      <c r="X20" s="2" t="s">
        <v>2</v>
      </c>
      <c r="Y20" s="2"/>
      <c r="Z20" s="2"/>
      <c r="AA20" s="2"/>
      <c r="AB20" s="2"/>
      <c r="AC20" s="2" t="s">
        <v>2</v>
      </c>
      <c r="AD20" s="2" t="s">
        <v>2</v>
      </c>
      <c r="AE20" s="2"/>
      <c r="AF20" s="2"/>
      <c r="AG20" s="2"/>
      <c r="AH20" s="2"/>
      <c r="AI20" s="2"/>
      <c r="AJ20" s="2"/>
      <c r="AK20" s="2"/>
      <c r="AL20" s="2"/>
      <c r="AM20" s="2"/>
      <c r="AN20" s="2"/>
      <c r="AO20" s="2"/>
      <c r="AP20" s="2"/>
      <c r="AQ20" s="2"/>
      <c r="AR20" s="2"/>
      <c r="AS20" s="2"/>
      <c r="AT20" s="2"/>
      <c r="AU20" s="2" t="s">
        <v>2</v>
      </c>
      <c r="AV20" s="2" t="s">
        <v>2</v>
      </c>
      <c r="AW20" s="2" t="s">
        <v>2</v>
      </c>
      <c r="AX20" s="2" t="s">
        <v>2</v>
      </c>
      <c r="AY20" s="2"/>
      <c r="AZ20" s="2"/>
      <c r="BA20" s="2"/>
      <c r="BB20" s="2"/>
      <c r="BC20" s="2"/>
      <c r="BD20" s="2"/>
      <c r="BE20" s="2"/>
      <c r="BF20" s="2"/>
      <c r="BG20" s="2" t="s">
        <v>2</v>
      </c>
      <c r="BH20" s="2" t="s">
        <v>2</v>
      </c>
      <c r="BI20" s="2" t="s">
        <v>2</v>
      </c>
      <c r="BJ20" s="2" t="s">
        <v>2</v>
      </c>
      <c r="BK20" s="2"/>
      <c r="BL20" s="2"/>
      <c r="BM20" s="2"/>
      <c r="BN20" s="2"/>
      <c r="BO20" s="2"/>
      <c r="BP20" s="2"/>
      <c r="BQ20" s="2"/>
      <c r="BR20" s="2"/>
      <c r="BS20" s="6"/>
      <c r="BT20" s="6"/>
      <c r="BU20" s="6"/>
      <c r="BV20" s="6"/>
      <c r="BW20" s="6"/>
      <c r="BX20" s="6"/>
      <c r="BY20" s="6"/>
      <c r="BZ20" s="6"/>
      <c r="CA20" s="6"/>
      <c r="CB20" s="6"/>
      <c r="CC20" s="6"/>
      <c r="CD20" s="6"/>
      <c r="CE20" s="6"/>
      <c r="CF20" s="6"/>
      <c r="CG20" s="6"/>
      <c r="CH20" s="6"/>
      <c r="CI20" s="6"/>
      <c r="CJ20" s="6"/>
      <c r="CK20" s="6"/>
      <c r="CL20" s="6"/>
      <c r="CM20" s="6"/>
      <c r="CN20" s="6"/>
      <c r="CR20" s="8" t="str">
        <f ca="1"/>
        <v>B</v>
      </c>
      <c r="CS20" s="8" t="str">
        <f ca="1"/>
        <v>B</v>
      </c>
      <c r="CT20" s="8" t="str">
        <f ca="1"/>
        <v>E</v>
      </c>
      <c r="CU20" s="8" t="str">
        <f ca="1"/>
        <v>B</v>
      </c>
      <c r="CV20" s="8" t="str">
        <f ca="1"/>
        <v>B</v>
      </c>
      <c r="CW20" s="8" t="str">
        <f ca="1"/>
        <v>E</v>
      </c>
      <c r="CX20" s="8" t="str">
        <f ca="1"/>
        <v>B</v>
      </c>
      <c r="CY20" s="8" t="str">
        <f ca="1"/>
        <v>B</v>
      </c>
      <c r="CZ20" s="8" t="str">
        <f ca="1"/>
        <v>E</v>
      </c>
      <c r="DA20" s="8" t="str">
        <f ca="1"/>
        <v>F</v>
      </c>
      <c r="DB20" s="8" t="str">
        <f ca="1"/>
        <v>D</v>
      </c>
      <c r="DC20" s="8" t="str">
        <f ca="1"/>
        <v>E</v>
      </c>
      <c r="DD20" s="8" t="str">
        <f ca="1"/>
        <v>B</v>
      </c>
      <c r="DE20" s="8" t="str">
        <f ca="1"/>
        <v>B</v>
      </c>
      <c r="DF20" s="8" t="str">
        <f ca="1"/>
        <v>E</v>
      </c>
      <c r="DG20" s="8" t="str">
        <f ca="1"/>
        <v>F</v>
      </c>
      <c r="DH20" s="8" t="str">
        <f ca="1"/>
        <v>D</v>
      </c>
      <c r="DI20" s="8" t="str">
        <f ca="1"/>
        <v>E</v>
      </c>
      <c r="DJ20" s="8" t="str">
        <f ca="1"/>
        <v>F</v>
      </c>
      <c r="DK20" s="8" t="str">
        <f ca="1"/>
        <v>F</v>
      </c>
      <c r="DL20" s="8" t="str">
        <f ca="1"/>
        <v>D</v>
      </c>
      <c r="DM20" s="8" t="str">
        <f ca="1"/>
        <v>D</v>
      </c>
      <c r="DN20" s="8" t="str">
        <f ca="1"/>
        <v>E</v>
      </c>
      <c r="DO20" s="8" t="str">
        <f ca="1"/>
        <v>E</v>
      </c>
      <c r="DP20" s="8" t="str">
        <f ca="1"/>
        <v>F</v>
      </c>
      <c r="DQ20" s="8" t="str">
        <f ca="1"/>
        <v>F</v>
      </c>
      <c r="DR20" s="8" t="str">
        <f ca="1"/>
        <v>D</v>
      </c>
      <c r="DS20" s="8" t="str">
        <f ca="1"/>
        <v>D</v>
      </c>
      <c r="DT20" s="8" t="str">
        <f ca="1"/>
        <v>E</v>
      </c>
      <c r="DU20" s="8" t="str">
        <f ca="1"/>
        <v>E</v>
      </c>
      <c r="DV20" s="8" t="str">
        <f ca="1"/>
        <v>B</v>
      </c>
      <c r="DW20" s="8" t="str">
        <f ca="1"/>
        <v>B</v>
      </c>
      <c r="DX20" s="8" t="str">
        <f ca="1"/>
        <v>B</v>
      </c>
      <c r="DY20" s="8" t="str">
        <f ca="1"/>
        <v>B</v>
      </c>
      <c r="DZ20" s="8" t="str">
        <f ca="1"/>
        <v>D</v>
      </c>
      <c r="EA20" s="8" t="str">
        <f ca="1"/>
        <v>D</v>
      </c>
      <c r="EB20" s="8" t="str">
        <f ca="1"/>
        <v>F</v>
      </c>
      <c r="EC20" s="8" t="str">
        <f ca="1"/>
        <v>F</v>
      </c>
      <c r="ED20" s="8" t="str">
        <f ca="1"/>
        <v>D</v>
      </c>
      <c r="EE20" s="8" t="str">
        <f ca="1"/>
        <v>D</v>
      </c>
      <c r="EF20" s="8" t="str">
        <f ca="1"/>
        <v>E</v>
      </c>
      <c r="EG20" s="8" t="str">
        <f ca="1"/>
        <v>E</v>
      </c>
      <c r="EH20" s="8" t="str">
        <f ca="1"/>
        <v>B</v>
      </c>
      <c r="EI20" s="8" t="str">
        <f ca="1"/>
        <v>B</v>
      </c>
      <c r="EJ20" s="8" t="str">
        <f ca="1"/>
        <v>B</v>
      </c>
      <c r="EK20" s="8" t="str">
        <f ca="1"/>
        <v>B</v>
      </c>
      <c r="EL20" s="8" t="str">
        <f ca="1"/>
        <v>D</v>
      </c>
      <c r="EM20" s="8" t="str">
        <f ca="1"/>
        <v>D</v>
      </c>
      <c r="EN20" s="8" t="str">
        <f ca="1"/>
        <v>F</v>
      </c>
      <c r="EO20" s="8" t="str">
        <f ca="1"/>
        <v>F</v>
      </c>
      <c r="EP20" s="8" t="str">
        <f ca="1"/>
        <v>D</v>
      </c>
      <c r="EQ20" s="8" t="str">
        <f ca="1"/>
        <v>D</v>
      </c>
      <c r="ER20" s="8" t="str">
        <f ca="1"/>
        <v>F</v>
      </c>
      <c r="ES20" s="8" t="str">
        <f ca="1"/>
        <v>F</v>
      </c>
      <c r="FI20" s="331"/>
    </row>
    <row r="21" spans="4:165" ht="24.95" customHeight="1" x14ac:dyDescent="0.4">
      <c r="D21" s="6" t="s">
        <v>513</v>
      </c>
      <c r="F21" s="149" t="s">
        <v>511</v>
      </c>
      <c r="G21" s="6" t="s">
        <v>169</v>
      </c>
      <c r="P21" s="6" t="str">
        <v>B</v>
      </c>
      <c r="Q21" s="2" t="s">
        <v>2</v>
      </c>
      <c r="R21" s="2" t="s">
        <v>2</v>
      </c>
      <c r="S21" s="2"/>
      <c r="T21" s="2" t="s">
        <v>2</v>
      </c>
      <c r="U21" s="2" t="s">
        <v>2</v>
      </c>
      <c r="V21" s="2"/>
      <c r="W21" s="2" t="s">
        <v>2</v>
      </c>
      <c r="X21" s="2" t="s">
        <v>2</v>
      </c>
      <c r="Y21" s="2"/>
      <c r="Z21" s="2"/>
      <c r="AA21" s="2"/>
      <c r="AB21" s="2"/>
      <c r="AC21" s="2" t="s">
        <v>2</v>
      </c>
      <c r="AD21" s="2" t="s">
        <v>2</v>
      </c>
      <c r="AE21" s="2"/>
      <c r="AF21" s="2"/>
      <c r="AG21" s="2"/>
      <c r="AH21" s="2"/>
      <c r="AI21" s="2"/>
      <c r="AJ21" s="2"/>
      <c r="AK21" s="2"/>
      <c r="AL21" s="2"/>
      <c r="AM21" s="2"/>
      <c r="AN21" s="2"/>
      <c r="AO21" s="2"/>
      <c r="AP21" s="2"/>
      <c r="AQ21" s="2"/>
      <c r="AR21" s="2"/>
      <c r="AS21" s="2"/>
      <c r="AT21" s="2"/>
      <c r="AU21" s="2" t="s">
        <v>2</v>
      </c>
      <c r="AV21" s="2" t="s">
        <v>2</v>
      </c>
      <c r="AW21" s="2" t="s">
        <v>2</v>
      </c>
      <c r="AX21" s="2" t="s">
        <v>2</v>
      </c>
      <c r="AY21" s="2"/>
      <c r="AZ21" s="2"/>
      <c r="BA21" s="2"/>
      <c r="BB21" s="2"/>
      <c r="BC21" s="2"/>
      <c r="BD21" s="2"/>
      <c r="BE21" s="2"/>
      <c r="BF21" s="2"/>
      <c r="BG21" s="2" t="s">
        <v>2</v>
      </c>
      <c r="BH21" s="2" t="s">
        <v>2</v>
      </c>
      <c r="BI21" s="2" t="s">
        <v>2</v>
      </c>
      <c r="BJ21" s="2" t="s">
        <v>2</v>
      </c>
      <c r="BK21" s="2"/>
      <c r="BL21" s="2"/>
      <c r="BM21" s="2"/>
      <c r="BN21" s="2"/>
      <c r="BO21" s="2"/>
      <c r="BP21" s="2"/>
      <c r="BQ21" s="2"/>
      <c r="BR21" s="2"/>
      <c r="BS21" s="6"/>
      <c r="BT21" s="6"/>
      <c r="BU21" s="6"/>
      <c r="BV21" s="6"/>
      <c r="BW21" s="6"/>
      <c r="BX21" s="6"/>
      <c r="BY21" s="6"/>
      <c r="BZ21" s="6"/>
      <c r="CA21" s="6"/>
      <c r="CB21" s="6"/>
      <c r="CC21" s="6"/>
      <c r="CD21" s="6"/>
      <c r="CE21" s="6"/>
      <c r="CF21" s="6"/>
      <c r="CG21" s="6"/>
      <c r="CH21" s="6"/>
      <c r="CI21" s="6"/>
      <c r="CJ21" s="6"/>
      <c r="CK21" s="6"/>
      <c r="CL21" s="6"/>
      <c r="CM21" s="6"/>
      <c r="CN21" s="6"/>
      <c r="CR21" s="8" t="str">
        <f ca="1"/>
        <v>C</v>
      </c>
      <c r="CS21" s="8" t="str">
        <f ca="1"/>
        <v>C</v>
      </c>
      <c r="CT21" s="8" t="str">
        <f ca="1"/>
        <v>F</v>
      </c>
      <c r="CU21" s="8" t="str">
        <f ca="1"/>
        <v>C</v>
      </c>
      <c r="CV21" s="8" t="str">
        <f ca="1"/>
        <v>C</v>
      </c>
      <c r="CW21" s="8" t="str">
        <f ca="1"/>
        <v>F</v>
      </c>
      <c r="CX21" s="8" t="str">
        <f ca="1"/>
        <v>C</v>
      </c>
      <c r="CY21" s="8" t="str">
        <f ca="1"/>
        <v>C</v>
      </c>
      <c r="CZ21" s="8" t="str">
        <f ca="1"/>
        <v>F</v>
      </c>
      <c r="DA21" s="8"/>
      <c r="DB21" s="8" t="str">
        <f ca="1"/>
        <v>E</v>
      </c>
      <c r="DC21" s="8" t="str">
        <f ca="1"/>
        <v>F</v>
      </c>
      <c r="DD21" s="8" t="str">
        <f ca="1"/>
        <v>C</v>
      </c>
      <c r="DE21" s="8" t="str">
        <f ca="1"/>
        <v>C</v>
      </c>
      <c r="DF21" s="8" t="str">
        <f ca="1"/>
        <v>F</v>
      </c>
      <c r="DG21" s="8"/>
      <c r="DH21" s="8" t="str">
        <f ca="1"/>
        <v>E</v>
      </c>
      <c r="DI21" s="8" t="str">
        <f ca="1"/>
        <v>F</v>
      </c>
      <c r="DJ21" s="8"/>
      <c r="DK21" s="8"/>
      <c r="DL21" s="8" t="str">
        <f ca="1"/>
        <v>E</v>
      </c>
      <c r="DM21" s="8" t="str">
        <f ca="1"/>
        <v>E</v>
      </c>
      <c r="DN21" s="8" t="str">
        <f ca="1"/>
        <v>F</v>
      </c>
      <c r="DO21" s="8" t="str">
        <f ca="1"/>
        <v>F</v>
      </c>
      <c r="DP21" s="8"/>
      <c r="DQ21" s="8"/>
      <c r="DR21" s="8" t="str">
        <f ca="1"/>
        <v>E</v>
      </c>
      <c r="DS21" s="8" t="str">
        <f ca="1"/>
        <v>E</v>
      </c>
      <c r="DT21" s="8" t="str">
        <f ca="1"/>
        <v>F</v>
      </c>
      <c r="DU21" s="8" t="str">
        <f ca="1"/>
        <v>F</v>
      </c>
      <c r="DV21" s="8" t="str">
        <f ca="1"/>
        <v>C</v>
      </c>
      <c r="DW21" s="8" t="str">
        <f ca="1"/>
        <v>C</v>
      </c>
      <c r="DX21" s="8" t="str">
        <f ca="1"/>
        <v>C</v>
      </c>
      <c r="DY21" s="8" t="str">
        <f ca="1"/>
        <v>C</v>
      </c>
      <c r="DZ21" s="8" t="str">
        <f ca="1"/>
        <v>E</v>
      </c>
      <c r="EA21" s="8" t="str">
        <f ca="1"/>
        <v>E</v>
      </c>
      <c r="EB21" s="8"/>
      <c r="EC21" s="8"/>
      <c r="ED21" s="8" t="str">
        <f ca="1"/>
        <v>E</v>
      </c>
      <c r="EE21" s="8" t="str">
        <f ca="1"/>
        <v>E</v>
      </c>
      <c r="EF21" s="8" t="str">
        <f ca="1"/>
        <v>F</v>
      </c>
      <c r="EG21" s="8" t="str">
        <f ca="1"/>
        <v>F</v>
      </c>
      <c r="EH21" s="8" t="str">
        <f ca="1"/>
        <v>C</v>
      </c>
      <c r="EI21" s="8" t="str">
        <f ca="1"/>
        <v>C</v>
      </c>
      <c r="EJ21" s="8" t="str">
        <f ca="1"/>
        <v>C</v>
      </c>
      <c r="EK21" s="8" t="str">
        <f ca="1"/>
        <v>C</v>
      </c>
      <c r="EL21" s="8" t="str">
        <f ca="1"/>
        <v>E</v>
      </c>
      <c r="EM21" s="8" t="str">
        <f ca="1"/>
        <v>E</v>
      </c>
      <c r="EN21" s="8" t="str">
        <f ca="1"/>
        <v>HUD</v>
      </c>
      <c r="EO21" s="8" t="str">
        <f ca="1"/>
        <v>HUD</v>
      </c>
      <c r="EP21" s="8" t="str">
        <f ca="1"/>
        <v>E</v>
      </c>
      <c r="EQ21" s="8" t="str">
        <f ca="1"/>
        <v>E</v>
      </c>
      <c r="ER21" s="8" t="str">
        <f ca="1"/>
        <v>HUD</v>
      </c>
      <c r="ES21" s="8" t="str">
        <f ca="1"/>
        <v>HUD</v>
      </c>
      <c r="FI21" s="331"/>
    </row>
    <row r="22" spans="4:165" ht="24.95" customHeight="1" x14ac:dyDescent="0.4">
      <c r="D22" s="6" t="s">
        <v>167</v>
      </c>
      <c r="F22" s="149" t="s">
        <v>160</v>
      </c>
      <c r="G22" s="6" t="s">
        <v>170</v>
      </c>
      <c r="P22" s="6" t="str">
        <v>C</v>
      </c>
      <c r="Q22" s="2" t="s">
        <v>2</v>
      </c>
      <c r="R22" s="2" t="s">
        <v>2</v>
      </c>
      <c r="S22" s="2"/>
      <c r="T22" s="2" t="s">
        <v>2</v>
      </c>
      <c r="U22" s="2" t="s">
        <v>2</v>
      </c>
      <c r="V22" s="2"/>
      <c r="W22" s="2" t="s">
        <v>2</v>
      </c>
      <c r="X22" s="2" t="s">
        <v>2</v>
      </c>
      <c r="Y22" s="2"/>
      <c r="Z22" s="2"/>
      <c r="AA22" s="2" t="s">
        <v>2</v>
      </c>
      <c r="AB22" s="2"/>
      <c r="AC22" s="2" t="s">
        <v>2</v>
      </c>
      <c r="AD22" s="2" t="s">
        <v>2</v>
      </c>
      <c r="AE22" s="2"/>
      <c r="AF22" s="2"/>
      <c r="AG22" s="2" t="s">
        <v>2</v>
      </c>
      <c r="AH22" s="2"/>
      <c r="AI22" s="2"/>
      <c r="AJ22" s="2"/>
      <c r="AK22" s="2" t="s">
        <v>2</v>
      </c>
      <c r="AL22" s="2" t="s">
        <v>2</v>
      </c>
      <c r="AM22" s="2"/>
      <c r="AN22" s="2"/>
      <c r="AO22" s="2"/>
      <c r="AP22" s="2"/>
      <c r="AQ22" s="2" t="s">
        <v>2</v>
      </c>
      <c r="AR22" s="2" t="s">
        <v>2</v>
      </c>
      <c r="AS22" s="2"/>
      <c r="AT22" s="2"/>
      <c r="AU22" s="2" t="s">
        <v>2</v>
      </c>
      <c r="AV22" s="2" t="s">
        <v>2</v>
      </c>
      <c r="AW22" s="2" t="s">
        <v>2</v>
      </c>
      <c r="AX22" s="2" t="s">
        <v>2</v>
      </c>
      <c r="AY22" s="2" t="s">
        <v>2</v>
      </c>
      <c r="AZ22" s="2" t="s">
        <v>2</v>
      </c>
      <c r="BA22" s="2"/>
      <c r="BB22" s="2"/>
      <c r="BC22" s="2" t="s">
        <v>2</v>
      </c>
      <c r="BD22" s="2" t="s">
        <v>2</v>
      </c>
      <c r="BE22" s="2"/>
      <c r="BF22" s="2"/>
      <c r="BG22" s="2" t="s">
        <v>2</v>
      </c>
      <c r="BH22" s="2" t="s">
        <v>2</v>
      </c>
      <c r="BI22" s="2" t="s">
        <v>2</v>
      </c>
      <c r="BJ22" s="2" t="s">
        <v>2</v>
      </c>
      <c r="BK22" s="2" t="s">
        <v>2</v>
      </c>
      <c r="BL22" s="2" t="s">
        <v>2</v>
      </c>
      <c r="BM22" s="2"/>
      <c r="BN22" s="2"/>
      <c r="BO22" s="2" t="s">
        <v>2</v>
      </c>
      <c r="BP22" s="2" t="s">
        <v>2</v>
      </c>
      <c r="BQ22" s="2"/>
      <c r="BR22" s="2"/>
      <c r="BS22" s="6"/>
      <c r="BT22" s="6"/>
      <c r="BU22" s="6"/>
      <c r="BV22" s="6"/>
      <c r="BW22" s="6"/>
      <c r="BX22" s="6"/>
      <c r="BY22" s="6"/>
      <c r="BZ22" s="6"/>
      <c r="CA22" s="6"/>
      <c r="CB22" s="6"/>
      <c r="CC22" s="6"/>
      <c r="CD22" s="6"/>
      <c r="CE22" s="6"/>
      <c r="CF22" s="6"/>
      <c r="CG22" s="6"/>
      <c r="CH22" s="6"/>
      <c r="CI22" s="6"/>
      <c r="CJ22" s="6"/>
      <c r="CK22" s="6"/>
      <c r="CL22" s="6"/>
      <c r="CM22" s="6"/>
      <c r="CN22" s="6"/>
      <c r="CR22" s="8" t="str">
        <f ca="1"/>
        <v>D</v>
      </c>
      <c r="CS22" s="8" t="str">
        <f ca="1"/>
        <v>D</v>
      </c>
      <c r="CT22" s="8"/>
      <c r="CU22" s="8" t="str">
        <f ca="1"/>
        <v>D</v>
      </c>
      <c r="CV22" s="8" t="str">
        <f ca="1"/>
        <v>D</v>
      </c>
      <c r="CW22" s="8"/>
      <c r="CX22" s="8" t="str">
        <f ca="1"/>
        <v>D</v>
      </c>
      <c r="CY22" s="8" t="str">
        <f ca="1"/>
        <v>D</v>
      </c>
      <c r="CZ22" s="8"/>
      <c r="DA22" s="8"/>
      <c r="DB22" s="8" t="str">
        <f ca="1"/>
        <v>F</v>
      </c>
      <c r="DC22" s="8"/>
      <c r="DD22" s="8" t="str">
        <f ca="1"/>
        <v>D</v>
      </c>
      <c r="DE22" s="8" t="str">
        <f ca="1"/>
        <v>D</v>
      </c>
      <c r="DF22" s="8"/>
      <c r="DG22" s="8"/>
      <c r="DH22" s="8" t="str">
        <f ca="1"/>
        <v>F</v>
      </c>
      <c r="DI22" s="8"/>
      <c r="DJ22" s="8"/>
      <c r="DK22" s="8"/>
      <c r="DL22" s="8" t="str">
        <f ca="1"/>
        <v>F</v>
      </c>
      <c r="DM22" s="8" t="str">
        <f ca="1"/>
        <v>F</v>
      </c>
      <c r="DN22" s="8"/>
      <c r="DO22" s="8"/>
      <c r="DP22" s="8"/>
      <c r="DQ22" s="8"/>
      <c r="DR22" s="8" t="str">
        <f ca="1"/>
        <v>F</v>
      </c>
      <c r="DS22" s="8" t="str">
        <f ca="1"/>
        <v>F</v>
      </c>
      <c r="DT22" s="8"/>
      <c r="DU22" s="8"/>
      <c r="DV22" s="8" t="str">
        <f ca="1"/>
        <v>D</v>
      </c>
      <c r="DW22" s="8" t="str">
        <f ca="1"/>
        <v>D</v>
      </c>
      <c r="DX22" s="8" t="str">
        <f ca="1"/>
        <v>D</v>
      </c>
      <c r="DY22" s="8" t="str">
        <f ca="1"/>
        <v>D</v>
      </c>
      <c r="DZ22" s="8" t="str">
        <f ca="1"/>
        <v>F</v>
      </c>
      <c r="EA22" s="8" t="str">
        <f ca="1"/>
        <v>F</v>
      </c>
      <c r="EB22" s="8"/>
      <c r="EC22" s="8"/>
      <c r="ED22" s="8" t="str">
        <f ca="1"/>
        <v>F</v>
      </c>
      <c r="EE22" s="8" t="str">
        <f ca="1"/>
        <v>F</v>
      </c>
      <c r="EF22" s="8"/>
      <c r="EG22" s="8"/>
      <c r="EH22" s="8" t="str">
        <f ca="1"/>
        <v>D</v>
      </c>
      <c r="EI22" s="8" t="str">
        <f ca="1"/>
        <v>D</v>
      </c>
      <c r="EJ22" s="8" t="str">
        <f ca="1"/>
        <v>D</v>
      </c>
      <c r="EK22" s="8" t="str">
        <f ca="1"/>
        <v>D</v>
      </c>
      <c r="EL22" s="8" t="str">
        <f ca="1"/>
        <v>F</v>
      </c>
      <c r="EM22" s="8" t="str">
        <f ca="1"/>
        <v>F</v>
      </c>
      <c r="EN22" s="8"/>
      <c r="EO22" s="8"/>
      <c r="EP22" s="8" t="str">
        <f ca="1"/>
        <v>F</v>
      </c>
      <c r="EQ22" s="8" t="str">
        <f ca="1"/>
        <v>F</v>
      </c>
      <c r="ER22" s="8"/>
      <c r="ES22" s="8"/>
      <c r="FI22" s="331"/>
    </row>
    <row r="23" spans="4:165" ht="24.95" customHeight="1" x14ac:dyDescent="0.4">
      <c r="D23" s="6" t="s">
        <v>168</v>
      </c>
      <c r="F23" s="149" t="s">
        <v>161</v>
      </c>
      <c r="G23" s="6" t="s">
        <v>171</v>
      </c>
      <c r="P23" s="6" t="str">
        <v>D</v>
      </c>
      <c r="Q23" s="2" t="s">
        <v>2</v>
      </c>
      <c r="R23" s="2" t="s">
        <v>2</v>
      </c>
      <c r="S23" s="2" t="s">
        <v>2</v>
      </c>
      <c r="T23" s="2" t="s">
        <v>2</v>
      </c>
      <c r="U23" s="2" t="s">
        <v>2</v>
      </c>
      <c r="V23" s="2" t="s">
        <v>2</v>
      </c>
      <c r="W23" s="2" t="s">
        <v>2</v>
      </c>
      <c r="X23" s="2" t="s">
        <v>2</v>
      </c>
      <c r="Y23" s="2" t="s">
        <v>2</v>
      </c>
      <c r="Z23" s="2"/>
      <c r="AA23" s="2" t="s">
        <v>2</v>
      </c>
      <c r="AB23" s="2" t="s">
        <v>2</v>
      </c>
      <c r="AC23" s="2" t="s">
        <v>2</v>
      </c>
      <c r="AD23" s="2" t="s">
        <v>2</v>
      </c>
      <c r="AE23" s="2" t="s">
        <v>2</v>
      </c>
      <c r="AF23" s="2"/>
      <c r="AG23" s="2" t="s">
        <v>2</v>
      </c>
      <c r="AH23" s="2" t="s">
        <v>2</v>
      </c>
      <c r="AI23" s="2"/>
      <c r="AJ23" s="2"/>
      <c r="AK23" s="2" t="s">
        <v>2</v>
      </c>
      <c r="AL23" s="2" t="s">
        <v>2</v>
      </c>
      <c r="AM23" s="2" t="s">
        <v>2</v>
      </c>
      <c r="AN23" s="2" t="s">
        <v>2</v>
      </c>
      <c r="AO23" s="2"/>
      <c r="AP23" s="2"/>
      <c r="AQ23" s="2" t="s">
        <v>2</v>
      </c>
      <c r="AR23" s="2" t="s">
        <v>2</v>
      </c>
      <c r="AS23" s="2" t="s">
        <v>2</v>
      </c>
      <c r="AT23" s="2" t="s">
        <v>2</v>
      </c>
      <c r="AU23" s="2" t="s">
        <v>2</v>
      </c>
      <c r="AV23" s="2" t="s">
        <v>2</v>
      </c>
      <c r="AW23" s="2" t="s">
        <v>2</v>
      </c>
      <c r="AX23" s="2" t="s">
        <v>2</v>
      </c>
      <c r="AY23" s="2" t="s">
        <v>2</v>
      </c>
      <c r="AZ23" s="2" t="s">
        <v>2</v>
      </c>
      <c r="BA23" s="2"/>
      <c r="BB23" s="2"/>
      <c r="BC23" s="2" t="s">
        <v>2</v>
      </c>
      <c r="BD23" s="2" t="s">
        <v>2</v>
      </c>
      <c r="BE23" s="2" t="s">
        <v>2</v>
      </c>
      <c r="BF23" s="2" t="s">
        <v>2</v>
      </c>
      <c r="BG23" s="2" t="s">
        <v>2</v>
      </c>
      <c r="BH23" s="2" t="s">
        <v>2</v>
      </c>
      <c r="BI23" s="2" t="s">
        <v>2</v>
      </c>
      <c r="BJ23" s="2" t="s">
        <v>2</v>
      </c>
      <c r="BK23" s="2" t="s">
        <v>2</v>
      </c>
      <c r="BL23" s="2" t="s">
        <v>2</v>
      </c>
      <c r="BM23" s="2"/>
      <c r="BN23" s="2"/>
      <c r="BO23" s="2" t="s">
        <v>2</v>
      </c>
      <c r="BP23" s="2" t="s">
        <v>2</v>
      </c>
      <c r="BQ23" s="2"/>
      <c r="BR23" s="2"/>
      <c r="BS23" s="6"/>
      <c r="BT23" s="6"/>
      <c r="BU23" s="6"/>
      <c r="BV23" s="6"/>
      <c r="BW23" s="6"/>
      <c r="BX23" s="6"/>
      <c r="BY23" s="6"/>
      <c r="BZ23" s="6"/>
      <c r="CA23" s="6"/>
      <c r="CB23" s="6"/>
      <c r="CC23" s="6"/>
      <c r="CD23" s="6"/>
      <c r="CE23" s="6"/>
      <c r="CF23" s="6"/>
      <c r="CG23" s="6"/>
      <c r="CH23" s="6"/>
      <c r="CI23" s="6"/>
      <c r="CJ23" s="6"/>
      <c r="CK23" s="6"/>
      <c r="CL23" s="6"/>
      <c r="CM23" s="6"/>
      <c r="CN23" s="6"/>
      <c r="CR23" s="8" t="str">
        <f ca="1"/>
        <v>E</v>
      </c>
      <c r="CS23" s="8" t="str">
        <f ca="1"/>
        <v>E</v>
      </c>
      <c r="CT23" s="8"/>
      <c r="CU23" s="8" t="str">
        <f ca="1"/>
        <v>E</v>
      </c>
      <c r="CV23" s="8" t="str">
        <f ca="1"/>
        <v>E</v>
      </c>
      <c r="CW23" s="8"/>
      <c r="CX23" s="8" t="str">
        <f ca="1"/>
        <v>E</v>
      </c>
      <c r="CY23" s="8" t="str">
        <f ca="1"/>
        <v>E</v>
      </c>
      <c r="CZ23" s="8"/>
      <c r="DA23" s="8"/>
      <c r="DB23" s="8"/>
      <c r="DC23" s="8"/>
      <c r="DD23" s="8" t="str">
        <f ca="1"/>
        <v>E</v>
      </c>
      <c r="DE23" s="8" t="str">
        <f ca="1"/>
        <v>E</v>
      </c>
      <c r="DF23" s="8"/>
      <c r="DG23" s="8"/>
      <c r="DH23" s="8"/>
      <c r="DI23" s="8"/>
      <c r="DJ23" s="8"/>
      <c r="DK23" s="8"/>
      <c r="DL23" s="8"/>
      <c r="DM23" s="8"/>
      <c r="DN23" s="8"/>
      <c r="DO23" s="8"/>
      <c r="DP23" s="8"/>
      <c r="DQ23" s="8"/>
      <c r="DR23" s="8"/>
      <c r="DS23" s="8"/>
      <c r="DT23" s="8"/>
      <c r="DU23" s="8"/>
      <c r="DV23" s="8" t="str">
        <f ca="1"/>
        <v>E</v>
      </c>
      <c r="DW23" s="8" t="str">
        <f ca="1"/>
        <v>E</v>
      </c>
      <c r="DX23" s="8" t="str">
        <f ca="1"/>
        <v>E</v>
      </c>
      <c r="DY23" s="8" t="str">
        <f ca="1"/>
        <v>E</v>
      </c>
      <c r="DZ23" s="8"/>
      <c r="EA23" s="8"/>
      <c r="EB23" s="8"/>
      <c r="EC23" s="8"/>
      <c r="ED23" s="8"/>
      <c r="EE23" s="8"/>
      <c r="EF23" s="8"/>
      <c r="EG23" s="8"/>
      <c r="EH23" s="8" t="str">
        <f ca="1"/>
        <v>E</v>
      </c>
      <c r="EI23" s="8" t="str">
        <f ca="1"/>
        <v>E</v>
      </c>
      <c r="EJ23" s="8" t="str">
        <f ca="1"/>
        <v>E</v>
      </c>
      <c r="EK23" s="8" t="str">
        <f ca="1"/>
        <v>E</v>
      </c>
      <c r="EL23" s="8" t="str">
        <f ca="1"/>
        <v>HUD</v>
      </c>
      <c r="EM23" s="8" t="str">
        <f ca="1"/>
        <v>HUD</v>
      </c>
      <c r="EN23" s="8"/>
      <c r="EO23" s="8"/>
      <c r="EP23" s="8" t="str">
        <f ca="1"/>
        <v>HUD</v>
      </c>
      <c r="EQ23" s="8" t="str">
        <f ca="1"/>
        <v>HUD</v>
      </c>
      <c r="ER23" s="8"/>
      <c r="ES23" s="8"/>
      <c r="FI23" s="331"/>
    </row>
    <row r="24" spans="4:165" ht="24.95" customHeight="1" x14ac:dyDescent="0.4">
      <c r="D24" s="6" t="s">
        <v>169</v>
      </c>
      <c r="F24" s="149" t="s">
        <v>512</v>
      </c>
      <c r="G24" s="6" t="s">
        <v>172</v>
      </c>
      <c r="P24" s="6" t="str">
        <v>E</v>
      </c>
      <c r="Q24" s="2" t="s">
        <v>2</v>
      </c>
      <c r="R24" s="2" t="s">
        <v>2</v>
      </c>
      <c r="S24" s="2" t="s">
        <v>2</v>
      </c>
      <c r="T24" s="2" t="s">
        <v>2</v>
      </c>
      <c r="U24" s="2" t="s">
        <v>2</v>
      </c>
      <c r="V24" s="2" t="s">
        <v>2</v>
      </c>
      <c r="W24" s="2" t="s">
        <v>2</v>
      </c>
      <c r="X24" s="2" t="s">
        <v>2</v>
      </c>
      <c r="Y24" s="2" t="s">
        <v>2</v>
      </c>
      <c r="Z24" s="2" t="s">
        <v>2</v>
      </c>
      <c r="AA24" s="2" t="s">
        <v>2</v>
      </c>
      <c r="AB24" s="2" t="s">
        <v>2</v>
      </c>
      <c r="AC24" s="2" t="s">
        <v>2</v>
      </c>
      <c r="AD24" s="2" t="s">
        <v>2</v>
      </c>
      <c r="AE24" s="2" t="s">
        <v>2</v>
      </c>
      <c r="AF24" s="2" t="s">
        <v>2</v>
      </c>
      <c r="AG24" s="2" t="s">
        <v>2</v>
      </c>
      <c r="AH24" s="2" t="s">
        <v>2</v>
      </c>
      <c r="AI24" s="2" t="s">
        <v>2</v>
      </c>
      <c r="AJ24" s="2" t="s">
        <v>2</v>
      </c>
      <c r="AK24" s="2" t="s">
        <v>2</v>
      </c>
      <c r="AL24" s="2" t="s">
        <v>2</v>
      </c>
      <c r="AM24" s="2" t="s">
        <v>2</v>
      </c>
      <c r="AN24" s="2" t="s">
        <v>2</v>
      </c>
      <c r="AO24" s="2" t="s">
        <v>2</v>
      </c>
      <c r="AP24" s="2" t="s">
        <v>2</v>
      </c>
      <c r="AQ24" s="2" t="s">
        <v>2</v>
      </c>
      <c r="AR24" s="2" t="s">
        <v>2</v>
      </c>
      <c r="AS24" s="2" t="s">
        <v>2</v>
      </c>
      <c r="AT24" s="2" t="s">
        <v>2</v>
      </c>
      <c r="AU24" s="2" t="s">
        <v>2</v>
      </c>
      <c r="AV24" s="2" t="s">
        <v>2</v>
      </c>
      <c r="AW24" s="2" t="s">
        <v>2</v>
      </c>
      <c r="AX24" s="2" t="s">
        <v>2</v>
      </c>
      <c r="AY24" s="2" t="s">
        <v>2</v>
      </c>
      <c r="AZ24" s="2" t="s">
        <v>2</v>
      </c>
      <c r="BA24" s="2" t="s">
        <v>2</v>
      </c>
      <c r="BB24" s="2" t="s">
        <v>2</v>
      </c>
      <c r="BC24" s="2" t="s">
        <v>2</v>
      </c>
      <c r="BD24" s="2" t="s">
        <v>2</v>
      </c>
      <c r="BE24" s="2" t="s">
        <v>2</v>
      </c>
      <c r="BF24" s="2" t="s">
        <v>2</v>
      </c>
      <c r="BG24" s="2" t="s">
        <v>2</v>
      </c>
      <c r="BH24" s="2" t="s">
        <v>2</v>
      </c>
      <c r="BI24" s="2" t="s">
        <v>2</v>
      </c>
      <c r="BJ24" s="2" t="s">
        <v>2</v>
      </c>
      <c r="BK24" s="2" t="s">
        <v>2</v>
      </c>
      <c r="BL24" s="2" t="s">
        <v>2</v>
      </c>
      <c r="BM24" s="2" t="s">
        <v>2</v>
      </c>
      <c r="BN24" s="2" t="s">
        <v>2</v>
      </c>
      <c r="BO24" s="2" t="s">
        <v>2</v>
      </c>
      <c r="BP24" s="2" t="s">
        <v>2</v>
      </c>
      <c r="BQ24" s="2" t="s">
        <v>2</v>
      </c>
      <c r="BR24" s="2" t="s">
        <v>2</v>
      </c>
      <c r="BS24" s="6"/>
      <c r="BT24" s="6"/>
      <c r="BU24" s="6"/>
      <c r="BV24" s="6"/>
      <c r="BW24" s="6"/>
      <c r="BX24" s="6"/>
      <c r="BY24" s="6"/>
      <c r="BZ24" s="6"/>
      <c r="CA24" s="6"/>
      <c r="CB24" s="6"/>
      <c r="CC24" s="6"/>
      <c r="CD24" s="6"/>
      <c r="CE24" s="6"/>
      <c r="CF24" s="6"/>
      <c r="CG24" s="6"/>
      <c r="CH24" s="6"/>
      <c r="CI24" s="6"/>
      <c r="CJ24" s="6"/>
      <c r="CK24" s="6"/>
      <c r="CL24" s="6"/>
      <c r="CM24" s="6"/>
      <c r="CN24" s="6"/>
      <c r="CR24" s="8" t="str">
        <f ca="1"/>
        <v>F</v>
      </c>
      <c r="CS24" s="8" t="str">
        <f ca="1"/>
        <v>F</v>
      </c>
      <c r="CT24" s="8"/>
      <c r="CU24" s="8" t="str">
        <f ca="1"/>
        <v>F</v>
      </c>
      <c r="CV24" s="8" t="str">
        <f ca="1"/>
        <v>F</v>
      </c>
      <c r="CW24" s="8"/>
      <c r="CX24" s="8" t="str">
        <f ca="1"/>
        <v>F</v>
      </c>
      <c r="CY24" s="8" t="str">
        <f ca="1"/>
        <v>F</v>
      </c>
      <c r="CZ24" s="8"/>
      <c r="DA24" s="8"/>
      <c r="DB24" s="8"/>
      <c r="DC24" s="8"/>
      <c r="DD24" s="8" t="str">
        <f ca="1"/>
        <v>F</v>
      </c>
      <c r="DE24" s="8" t="str">
        <f ca="1"/>
        <v>F</v>
      </c>
      <c r="DF24" s="8"/>
      <c r="DG24" s="8"/>
      <c r="DH24" s="8"/>
      <c r="DI24" s="8"/>
      <c r="DJ24" s="8"/>
      <c r="DK24" s="8"/>
      <c r="DL24" s="8"/>
      <c r="DM24" s="8"/>
      <c r="DN24" s="8"/>
      <c r="DO24" s="8"/>
      <c r="DP24" s="8"/>
      <c r="DQ24" s="8"/>
      <c r="DR24" s="8"/>
      <c r="DS24" s="8"/>
      <c r="DT24" s="8"/>
      <c r="DU24" s="8"/>
      <c r="DV24" s="8" t="str">
        <f ca="1"/>
        <v>F</v>
      </c>
      <c r="DW24" s="8" t="str">
        <f ca="1"/>
        <v>F</v>
      </c>
      <c r="DX24" s="8" t="str">
        <f ca="1"/>
        <v>F</v>
      </c>
      <c r="DY24" s="8" t="str">
        <f ca="1"/>
        <v>F</v>
      </c>
      <c r="DZ24" s="8"/>
      <c r="EA24" s="8"/>
      <c r="EB24" s="8"/>
      <c r="EC24" s="8"/>
      <c r="ED24" s="8"/>
      <c r="EE24" s="8"/>
      <c r="EF24" s="8"/>
      <c r="EG24" s="8"/>
      <c r="EH24" s="8" t="str">
        <f ca="1"/>
        <v>F</v>
      </c>
      <c r="EI24" s="8" t="str">
        <f ca="1"/>
        <v>F</v>
      </c>
      <c r="EJ24" s="8" t="str">
        <f ca="1"/>
        <v>F</v>
      </c>
      <c r="EK24" s="8" t="str">
        <f ca="1"/>
        <v>F</v>
      </c>
      <c r="EL24" s="8"/>
      <c r="EM24" s="8"/>
      <c r="EN24" s="8"/>
      <c r="EO24" s="8"/>
      <c r="EP24" s="8"/>
      <c r="EQ24" s="8"/>
      <c r="ER24" s="8"/>
      <c r="ES24" s="8"/>
      <c r="FI24" s="331"/>
    </row>
    <row r="25" spans="4:165" ht="24.95" customHeight="1" x14ac:dyDescent="0.4">
      <c r="D25" s="6" t="s">
        <v>170</v>
      </c>
      <c r="F25" s="149" t="s">
        <v>162</v>
      </c>
      <c r="G25" s="6" t="s">
        <v>173</v>
      </c>
      <c r="P25" s="6" t="str">
        <v>F</v>
      </c>
      <c r="Q25" s="2" t="s">
        <v>2</v>
      </c>
      <c r="R25" s="2" t="s">
        <v>2</v>
      </c>
      <c r="S25" s="2" t="s">
        <v>2</v>
      </c>
      <c r="T25" s="2" t="s">
        <v>2</v>
      </c>
      <c r="U25" s="2" t="s">
        <v>2</v>
      </c>
      <c r="V25" s="2" t="s">
        <v>2</v>
      </c>
      <c r="W25" s="2" t="s">
        <v>2</v>
      </c>
      <c r="X25" s="2" t="s">
        <v>2</v>
      </c>
      <c r="Y25" s="2" t="s">
        <v>2</v>
      </c>
      <c r="Z25" s="2" t="s">
        <v>2</v>
      </c>
      <c r="AA25" s="2" t="s">
        <v>2</v>
      </c>
      <c r="AB25" s="2" t="s">
        <v>2</v>
      </c>
      <c r="AC25" s="2" t="s">
        <v>2</v>
      </c>
      <c r="AD25" s="2" t="s">
        <v>2</v>
      </c>
      <c r="AE25" s="2" t="s">
        <v>2</v>
      </c>
      <c r="AF25" s="2" t="s">
        <v>2</v>
      </c>
      <c r="AG25" s="2" t="s">
        <v>2</v>
      </c>
      <c r="AH25" s="2" t="s">
        <v>2</v>
      </c>
      <c r="AI25" s="2" t="s">
        <v>2</v>
      </c>
      <c r="AJ25" s="2" t="s">
        <v>2</v>
      </c>
      <c r="AK25" s="2" t="s">
        <v>2</v>
      </c>
      <c r="AL25" s="2" t="s">
        <v>2</v>
      </c>
      <c r="AM25" s="2" t="s">
        <v>2</v>
      </c>
      <c r="AN25" s="2" t="s">
        <v>2</v>
      </c>
      <c r="AO25" s="2" t="s">
        <v>2</v>
      </c>
      <c r="AP25" s="2" t="s">
        <v>2</v>
      </c>
      <c r="AQ25" s="2" t="s">
        <v>2</v>
      </c>
      <c r="AR25" s="2" t="s">
        <v>2</v>
      </c>
      <c r="AS25" s="2" t="s">
        <v>2</v>
      </c>
      <c r="AT25" s="2" t="s">
        <v>2</v>
      </c>
      <c r="AU25" s="2" t="s">
        <v>2</v>
      </c>
      <c r="AV25" s="2" t="s">
        <v>2</v>
      </c>
      <c r="AW25" s="2" t="s">
        <v>2</v>
      </c>
      <c r="AX25" s="2" t="s">
        <v>2</v>
      </c>
      <c r="AY25" s="2" t="s">
        <v>2</v>
      </c>
      <c r="AZ25" s="2" t="s">
        <v>2</v>
      </c>
      <c r="BA25" s="2" t="s">
        <v>2</v>
      </c>
      <c r="BB25" s="2" t="s">
        <v>2</v>
      </c>
      <c r="BC25" s="2" t="s">
        <v>2</v>
      </c>
      <c r="BD25" s="2" t="s">
        <v>2</v>
      </c>
      <c r="BE25" s="2" t="s">
        <v>2</v>
      </c>
      <c r="BF25" s="2" t="s">
        <v>2</v>
      </c>
      <c r="BG25" s="2" t="s">
        <v>2</v>
      </c>
      <c r="BH25" s="2" t="s">
        <v>2</v>
      </c>
      <c r="BI25" s="2" t="s">
        <v>2</v>
      </c>
      <c r="BJ25" s="2" t="s">
        <v>2</v>
      </c>
      <c r="BK25" s="2" t="s">
        <v>2</v>
      </c>
      <c r="BL25" s="2" t="s">
        <v>2</v>
      </c>
      <c r="BM25" s="2" t="s">
        <v>2</v>
      </c>
      <c r="BN25" s="2" t="s">
        <v>2</v>
      </c>
      <c r="BO25" s="2" t="s">
        <v>2</v>
      </c>
      <c r="BP25" s="2" t="s">
        <v>2</v>
      </c>
      <c r="BQ25" s="2" t="s">
        <v>2</v>
      </c>
      <c r="BR25" s="2" t="s">
        <v>2</v>
      </c>
      <c r="BS25" s="6"/>
      <c r="BT25" s="6"/>
      <c r="BU25" s="6"/>
      <c r="BV25" s="6"/>
      <c r="BW25" s="6"/>
      <c r="BX25" s="6"/>
      <c r="BY25" s="6"/>
      <c r="BZ25" s="6"/>
      <c r="CA25" s="6"/>
      <c r="CB25" s="6"/>
      <c r="CC25" s="6"/>
      <c r="CD25" s="6"/>
      <c r="CE25" s="6"/>
      <c r="CF25" s="6"/>
      <c r="CG25" s="6"/>
      <c r="CH25" s="6"/>
      <c r="CI25" s="6"/>
      <c r="CJ25" s="6"/>
      <c r="CK25" s="6"/>
      <c r="CL25" s="6"/>
      <c r="CM25" s="6"/>
      <c r="CN25" s="6"/>
      <c r="CR25" s="8"/>
      <c r="CS25" s="8"/>
      <c r="CT25" s="8"/>
      <c r="CU25" s="8"/>
      <c r="CV25" s="8"/>
      <c r="CW25" s="8"/>
      <c r="CX25" s="8"/>
      <c r="CY25" s="8"/>
      <c r="CZ25" s="8"/>
      <c r="DA25" s="8"/>
      <c r="DB25" s="8"/>
      <c r="DC25" s="8"/>
      <c r="DD25" s="8"/>
      <c r="DE25" s="8"/>
      <c r="DF25" s="8"/>
      <c r="DG25" s="8"/>
      <c r="DH25" s="8"/>
      <c r="DI25" s="8"/>
      <c r="DJ25" s="8"/>
      <c r="DK25" s="8"/>
      <c r="DL25" s="8"/>
      <c r="DM25" s="8"/>
      <c r="DN25" s="8"/>
      <c r="DO25" s="8"/>
      <c r="DP25" s="8"/>
      <c r="DQ25" s="8"/>
      <c r="DR25" s="8"/>
      <c r="DS25" s="8"/>
      <c r="DT25" s="8"/>
      <c r="DU25" s="8"/>
      <c r="DV25" s="8"/>
      <c r="DW25" s="8"/>
      <c r="DX25" s="8"/>
      <c r="DY25" s="8"/>
      <c r="DZ25" s="8"/>
      <c r="EA25" s="8"/>
      <c r="EB25" s="8"/>
      <c r="EC25" s="8"/>
      <c r="ED25" s="8"/>
      <c r="EE25" s="8"/>
      <c r="EF25" s="8"/>
      <c r="EG25" s="8"/>
      <c r="EH25" s="8" t="str">
        <f ca="1"/>
        <v>HUD</v>
      </c>
      <c r="EI25" s="8" t="str">
        <f ca="1"/>
        <v>HUD</v>
      </c>
      <c r="EJ25" s="8" t="str">
        <f ca="1"/>
        <v>HUD</v>
      </c>
      <c r="EK25" s="8" t="str">
        <f ca="1"/>
        <v>HUD</v>
      </c>
      <c r="EL25" s="8"/>
      <c r="EM25" s="8"/>
      <c r="EN25" s="8"/>
      <c r="EO25" s="8"/>
      <c r="EP25" s="8"/>
      <c r="EQ25" s="8"/>
      <c r="ER25" s="8"/>
      <c r="ES25" s="8"/>
      <c r="FI25" s="331"/>
    </row>
    <row r="26" spans="4:165" ht="24.95" customHeight="1" x14ac:dyDescent="0.4">
      <c r="D26" s="6" t="s">
        <v>171</v>
      </c>
      <c r="F26" s="149" t="s">
        <v>166</v>
      </c>
      <c r="G26" s="6" t="s">
        <v>174</v>
      </c>
      <c r="P26" s="6" t="str">
        <v>HUD</v>
      </c>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t="s">
        <v>2</v>
      </c>
      <c r="BH26" s="2" t="s">
        <v>2</v>
      </c>
      <c r="BI26" s="2" t="s">
        <v>2</v>
      </c>
      <c r="BJ26" s="2" t="s">
        <v>2</v>
      </c>
      <c r="BK26" s="2" t="s">
        <v>2</v>
      </c>
      <c r="BL26" s="2" t="s">
        <v>2</v>
      </c>
      <c r="BM26" s="2" t="s">
        <v>2</v>
      </c>
      <c r="BN26" s="2" t="s">
        <v>2</v>
      </c>
      <c r="BO26" s="2" t="s">
        <v>2</v>
      </c>
      <c r="BP26" s="2" t="s">
        <v>2</v>
      </c>
      <c r="BQ26" s="2" t="s">
        <v>2</v>
      </c>
      <c r="BR26" s="2" t="s">
        <v>2</v>
      </c>
      <c r="BS26" s="6"/>
      <c r="BT26" s="6"/>
      <c r="BU26" s="6"/>
      <c r="BV26" s="6"/>
      <c r="BW26" s="6"/>
      <c r="BX26" s="6"/>
      <c r="BY26" s="6"/>
      <c r="BZ26" s="6"/>
      <c r="CA26" s="6"/>
      <c r="CB26" s="6"/>
      <c r="CC26" s="6"/>
      <c r="CD26" s="6"/>
      <c r="CE26" s="6"/>
      <c r="CF26" s="6"/>
      <c r="CG26" s="6"/>
      <c r="CH26" s="6"/>
      <c r="CI26" s="6"/>
      <c r="CJ26" s="6"/>
      <c r="CK26" s="6"/>
      <c r="CL26" s="6"/>
      <c r="CM26" s="6"/>
      <c r="CN26" s="6"/>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FI26" s="331"/>
    </row>
    <row r="27" spans="4:165" ht="24.95" customHeight="1" x14ac:dyDescent="0.4">
      <c r="D27" s="6" t="s">
        <v>172</v>
      </c>
      <c r="F27" s="149" t="s">
        <v>513</v>
      </c>
      <c r="G27" s="6" t="s">
        <v>175</v>
      </c>
      <c r="FI27" s="331"/>
    </row>
    <row r="28" spans="4:165" ht="24.95" customHeight="1" x14ac:dyDescent="0.4">
      <c r="D28" s="6" t="s">
        <v>173</v>
      </c>
      <c r="F28" s="149" t="s">
        <v>167</v>
      </c>
      <c r="G28" s="6" t="s">
        <v>176</v>
      </c>
      <c r="CR28" s="6" t="str">
        <f ca="1">IF((CR$18&amp; " " &amp;CR19)= (CR$18&amp; " "),"",CR$6&amp; " " &amp;CR19)</f>
        <v>MERCEDEZ GLE 53 Rear Axle A</v>
      </c>
      <c r="CS28" s="6" t="str">
        <f t="shared" ref="CS28:ES28" ca="1" si="2">IF((CS$18&amp; " " &amp;CS19)= (CS$18&amp; " "),"",CS$6&amp; " " &amp;CS19)</f>
        <v>MERCEDEZ GLE 580 Rear Axle A</v>
      </c>
      <c r="CT28" s="6" t="str">
        <f t="shared" ca="1" si="2"/>
        <v>MERCEDEZ LE 300 Coupé Rear Axle D</v>
      </c>
      <c r="CU28" s="6" t="str">
        <f t="shared" ca="1" si="2"/>
        <v>MERCEDEZ GLE 53 Front Axle A</v>
      </c>
      <c r="CV28" s="6" t="str">
        <f t="shared" ca="1" si="2"/>
        <v>MERCEDEZ GLE 580 Front Axle A</v>
      </c>
      <c r="CW28" s="6" t="str">
        <f t="shared" ca="1" si="2"/>
        <v>MERCEDEZ LE 300 Coupé Front Axle D</v>
      </c>
      <c r="CX28" s="6" t="str">
        <f t="shared" ca="1" si="2"/>
        <v>MERCEDEZ GLE 53 Rear Bumper A</v>
      </c>
      <c r="CY28" s="6" t="str">
        <f t="shared" ca="1" si="2"/>
        <v>MERCEDEZ GLE 580 Rear Bumper A</v>
      </c>
      <c r="CZ28" s="6" t="str">
        <f t="shared" ca="1" si="2"/>
        <v>MERCEDEZ LE 300 Coupé Rear Bumper D</v>
      </c>
      <c r="DA28" s="6" t="str">
        <f t="shared" ca="1" si="2"/>
        <v>BMW X7 Rear Bumper E</v>
      </c>
      <c r="DB28" s="6" t="str">
        <f t="shared" ca="1" si="2"/>
        <v>BMW 420d Gran Coupé Rear Bumper C</v>
      </c>
      <c r="DC28" s="6" t="str">
        <f t="shared" ca="1" si="2"/>
        <v>BMW M550i xDrive Rear Bumper D</v>
      </c>
      <c r="DD28" s="6" t="str">
        <f t="shared" ca="1" si="2"/>
        <v>MERCEDEZ GLE 53 Front Bumper A</v>
      </c>
      <c r="DE28" s="6" t="str">
        <f t="shared" ca="1" si="2"/>
        <v>MERCEDEZ GLE 580 Front Bumper A</v>
      </c>
      <c r="DF28" s="6" t="str">
        <f t="shared" ca="1" si="2"/>
        <v>MERCEDEZ LE 300 Coupé Front Bumper D</v>
      </c>
      <c r="DG28" s="6" t="str">
        <f t="shared" ca="1" si="2"/>
        <v>BMW X7 Front Bumper E</v>
      </c>
      <c r="DH28" s="6" t="str">
        <f t="shared" ca="1" si="2"/>
        <v>BMW 420d Gran Coupé Front Bumper C</v>
      </c>
      <c r="DI28" s="6" t="str">
        <f t="shared" ca="1" si="2"/>
        <v>BMW M550i xDrive Front Bumper D</v>
      </c>
      <c r="DJ28" s="6" t="str">
        <f t="shared" ca="1" si="2"/>
        <v>BMW X7 B-Pillar LH E</v>
      </c>
      <c r="DK28" s="6" t="str">
        <f t="shared" ca="1" si="2"/>
        <v>BMW X7 B-Pillar RH E</v>
      </c>
      <c r="DL28" s="6" t="str">
        <f t="shared" ca="1" si="2"/>
        <v>BMW 420d Gran Coupé B-Pillar LH C</v>
      </c>
      <c r="DM28" s="6" t="str">
        <f t="shared" ca="1" si="2"/>
        <v>BMW 420d Gran Coupé B-Pillar RH C</v>
      </c>
      <c r="DN28" s="6" t="str">
        <f t="shared" ca="1" si="2"/>
        <v>BMW M550i xDrive B-Pillar LH D</v>
      </c>
      <c r="DO28" s="6" t="str">
        <f t="shared" ca="1" si="2"/>
        <v>BMW M550i xDrive B-Pillar RH D</v>
      </c>
      <c r="DP28" s="6" t="str">
        <f t="shared" ca="1" si="2"/>
        <v>BMW X7 A-Pillar LH E</v>
      </c>
      <c r="DQ28" s="6" t="str">
        <f t="shared" ca="1" si="2"/>
        <v>BMW X7 A-Pillar RH E</v>
      </c>
      <c r="DR28" s="6" t="str">
        <f t="shared" ca="1" si="2"/>
        <v>BMW 420d Gran Coupé A-Pillar LH C</v>
      </c>
      <c r="DS28" s="6" t="str">
        <f t="shared" ca="1" si="2"/>
        <v>BMW 420d Gran Coupé A-Pillar RH C</v>
      </c>
      <c r="DT28" s="6" t="str">
        <f t="shared" ca="1" si="2"/>
        <v>BMW M550i xDrive A-Pillar LH D</v>
      </c>
      <c r="DU28" s="6" t="str">
        <f t="shared" ca="1" si="2"/>
        <v>BMW M550i xDrive A-Pillar RH D</v>
      </c>
      <c r="DV28" s="6" t="str">
        <f t="shared" ca="1" si="2"/>
        <v>MERCEDEZ GLE 53 C-Pillar LH A</v>
      </c>
      <c r="DW28" s="6" t="str">
        <f t="shared" ca="1" si="2"/>
        <v>MERCEDEZ GLE 53 C-Pillar RH A</v>
      </c>
      <c r="DX28" s="6" t="str">
        <f t="shared" ca="1" si="2"/>
        <v>MERCEDEZ GLE 580 C-Pillar LH A</v>
      </c>
      <c r="DY28" s="6" t="str">
        <f t="shared" ca="1" si="2"/>
        <v>MERCEDEZ GLE 580 C-Pillar RH A</v>
      </c>
      <c r="DZ28" s="6" t="str">
        <f t="shared" ca="1" si="2"/>
        <v>MERCEDEZ LE 300 Coupé C-Pillar LH C</v>
      </c>
      <c r="EA28" s="6" t="str">
        <f t="shared" ca="1" si="2"/>
        <v>MERCEDEZ LE 300 Coupé C-Pillar RH C</v>
      </c>
      <c r="EB28" s="6" t="str">
        <f t="shared" ca="1" si="2"/>
        <v>BMW X7 C-Pillar LH E</v>
      </c>
      <c r="EC28" s="6" t="str">
        <f t="shared" ca="1" si="2"/>
        <v>BMW X7 C-Pillar RH E</v>
      </c>
      <c r="ED28" s="6" t="str">
        <f t="shared" ca="1" si="2"/>
        <v>BMW 420d Gran Coupé C-Pillar LH C</v>
      </c>
      <c r="EE28" s="6" t="str">
        <f t="shared" ca="1" si="2"/>
        <v>BMW 420d Gran Coupé C-Pillar RH C</v>
      </c>
      <c r="EF28" s="6" t="str">
        <f t="shared" ca="1" si="2"/>
        <v>BMW M550i xDrive C-Pillar LH D</v>
      </c>
      <c r="EG28" s="6" t="str">
        <f t="shared" ca="1" si="2"/>
        <v>BMW M550i xDrive C-Pillar RH D</v>
      </c>
      <c r="EH28" s="6" t="str">
        <f t="shared" ca="1" si="2"/>
        <v>MERCEDEZ GLE 53 IP LHD A</v>
      </c>
      <c r="EI28" s="6" t="str">
        <f t="shared" ca="1" si="2"/>
        <v>MERCEDEZ GLE 53 IP RHD A</v>
      </c>
      <c r="EJ28" s="6" t="str">
        <f t="shared" ca="1" si="2"/>
        <v>MERCEDEZ GLE 580 IP LHD A</v>
      </c>
      <c r="EK28" s="6" t="str">
        <f t="shared" ca="1" si="2"/>
        <v>MERCEDEZ GLE 580 IP RHD A</v>
      </c>
      <c r="EL28" s="6" t="str">
        <f t="shared" ca="1" si="2"/>
        <v>MERCEDEZ LE 300 Coupé IP LHD C</v>
      </c>
      <c r="EM28" s="6" t="str">
        <f t="shared" ca="1" si="2"/>
        <v>MERCEDEZ LE 300 Coupé IP RHD C</v>
      </c>
      <c r="EN28" s="6" t="str">
        <f t="shared" ca="1" si="2"/>
        <v>BMW X7 IP LHD E</v>
      </c>
      <c r="EO28" s="6" t="str">
        <f t="shared" ca="1" si="2"/>
        <v>BMW X7 IP RHD E</v>
      </c>
      <c r="EP28" s="6" t="str">
        <f t="shared" ca="1" si="2"/>
        <v>BMW 420d Gran Coupé IP LHD C</v>
      </c>
      <c r="EQ28" s="6" t="str">
        <f t="shared" ca="1" si="2"/>
        <v>BMW 420d Gran Coupé IP RHD C</v>
      </c>
      <c r="ER28" s="6" t="str">
        <f t="shared" ca="1" si="2"/>
        <v>BMW M550i xDrive IP LHD E</v>
      </c>
      <c r="ES28" s="6" t="str">
        <f t="shared" ca="1" si="2"/>
        <v>BMW M550i xDrive IP RHD E</v>
      </c>
      <c r="FI28" s="331"/>
    </row>
    <row r="29" spans="4:165" ht="24.95" customHeight="1" x14ac:dyDescent="0.4">
      <c r="D29" s="6" t="s">
        <v>174</v>
      </c>
      <c r="F29" s="149" t="s">
        <v>183</v>
      </c>
      <c r="G29" s="6" t="s">
        <v>177</v>
      </c>
      <c r="CR29" s="6" t="str">
        <f ca="1">IF((CR$18&amp; " " &amp;CR20)= (CR$18&amp; " "),"",CR$6&amp; " " &amp;CR20)</f>
        <v>MERCEDEZ GLE 53 Rear Axle B</v>
      </c>
      <c r="CS29" s="6" t="str">
        <f ca="1">IF((CS$18&amp; " " &amp;CS20)= (CS$18&amp; " "),"",CS$6&amp; " " &amp;CS20)</f>
        <v>MERCEDEZ GLE 580 Rear Axle B</v>
      </c>
      <c r="CT29" s="6" t="str">
        <f t="shared" ref="CT29:ES29" ca="1" si="3">IF((CT$18&amp; " " &amp;CT20)= (CT$18&amp; " "),"",CT$6&amp; " " &amp;CT20)</f>
        <v>MERCEDEZ LE 300 Coupé Rear Axle E</v>
      </c>
      <c r="CU29" s="6" t="str">
        <f t="shared" ca="1" si="3"/>
        <v>MERCEDEZ GLE 53 Front Axle B</v>
      </c>
      <c r="CV29" s="6" t="str">
        <f t="shared" ca="1" si="3"/>
        <v>MERCEDEZ GLE 580 Front Axle B</v>
      </c>
      <c r="CW29" s="6" t="str">
        <f t="shared" ca="1" si="3"/>
        <v>MERCEDEZ LE 300 Coupé Front Axle E</v>
      </c>
      <c r="CX29" s="6" t="str">
        <f t="shared" ca="1" si="3"/>
        <v>MERCEDEZ GLE 53 Rear Bumper B</v>
      </c>
      <c r="CY29" s="6" t="str">
        <f t="shared" ca="1" si="3"/>
        <v>MERCEDEZ GLE 580 Rear Bumper B</v>
      </c>
      <c r="CZ29" s="6" t="str">
        <f t="shared" ca="1" si="3"/>
        <v>MERCEDEZ LE 300 Coupé Rear Bumper E</v>
      </c>
      <c r="DA29" s="6" t="str">
        <f t="shared" ca="1" si="3"/>
        <v>BMW X7 Rear Bumper F</v>
      </c>
      <c r="DB29" s="6" t="str">
        <f t="shared" ca="1" si="3"/>
        <v>BMW 420d Gran Coupé Rear Bumper D</v>
      </c>
      <c r="DC29" s="6" t="str">
        <f t="shared" ca="1" si="3"/>
        <v>BMW M550i xDrive Rear Bumper E</v>
      </c>
      <c r="DD29" s="6" t="str">
        <f t="shared" ca="1" si="3"/>
        <v>MERCEDEZ GLE 53 Front Bumper B</v>
      </c>
      <c r="DE29" s="6" t="str">
        <f t="shared" ca="1" si="3"/>
        <v>MERCEDEZ GLE 580 Front Bumper B</v>
      </c>
      <c r="DF29" s="6" t="str">
        <f t="shared" ca="1" si="3"/>
        <v>MERCEDEZ LE 300 Coupé Front Bumper E</v>
      </c>
      <c r="DG29" s="6" t="str">
        <f t="shared" ca="1" si="3"/>
        <v>BMW X7 Front Bumper F</v>
      </c>
      <c r="DH29" s="6" t="str">
        <f t="shared" ca="1" si="3"/>
        <v>BMW 420d Gran Coupé Front Bumper D</v>
      </c>
      <c r="DI29" s="6" t="str">
        <f t="shared" ca="1" si="3"/>
        <v>BMW M550i xDrive Front Bumper E</v>
      </c>
      <c r="DJ29" s="6" t="str">
        <f t="shared" ca="1" si="3"/>
        <v>BMW X7 B-Pillar LH F</v>
      </c>
      <c r="DK29" s="6" t="str">
        <f t="shared" ca="1" si="3"/>
        <v>BMW X7 B-Pillar RH F</v>
      </c>
      <c r="DL29" s="6" t="str">
        <f t="shared" ca="1" si="3"/>
        <v>BMW 420d Gran Coupé B-Pillar LH D</v>
      </c>
      <c r="DM29" s="6" t="str">
        <f t="shared" ca="1" si="3"/>
        <v>BMW 420d Gran Coupé B-Pillar RH D</v>
      </c>
      <c r="DN29" s="6" t="str">
        <f t="shared" ca="1" si="3"/>
        <v>BMW M550i xDrive B-Pillar LH E</v>
      </c>
      <c r="DO29" s="6" t="str">
        <f t="shared" ca="1" si="3"/>
        <v>BMW M550i xDrive B-Pillar RH E</v>
      </c>
      <c r="DP29" s="6" t="str">
        <f t="shared" ca="1" si="3"/>
        <v>BMW X7 A-Pillar LH F</v>
      </c>
      <c r="DQ29" s="6" t="str">
        <f t="shared" ca="1" si="3"/>
        <v>BMW X7 A-Pillar RH F</v>
      </c>
      <c r="DR29" s="6" t="str">
        <f t="shared" ca="1" si="3"/>
        <v>BMW 420d Gran Coupé A-Pillar LH D</v>
      </c>
      <c r="DS29" s="6" t="str">
        <f t="shared" ca="1" si="3"/>
        <v>BMW 420d Gran Coupé A-Pillar RH D</v>
      </c>
      <c r="DT29" s="6" t="str">
        <f t="shared" ca="1" si="3"/>
        <v>BMW M550i xDrive A-Pillar LH E</v>
      </c>
      <c r="DU29" s="6" t="str">
        <f t="shared" ca="1" si="3"/>
        <v>BMW M550i xDrive A-Pillar RH E</v>
      </c>
      <c r="DV29" s="6" t="str">
        <f t="shared" ca="1" si="3"/>
        <v>MERCEDEZ GLE 53 C-Pillar LH B</v>
      </c>
      <c r="DW29" s="6" t="str">
        <f t="shared" ca="1" si="3"/>
        <v>MERCEDEZ GLE 53 C-Pillar RH B</v>
      </c>
      <c r="DX29" s="6" t="str">
        <f t="shared" ca="1" si="3"/>
        <v>MERCEDEZ GLE 580 C-Pillar LH B</v>
      </c>
      <c r="DY29" s="6" t="str">
        <f t="shared" ca="1" si="3"/>
        <v>MERCEDEZ GLE 580 C-Pillar RH B</v>
      </c>
      <c r="DZ29" s="6" t="str">
        <f t="shared" ca="1" si="3"/>
        <v>MERCEDEZ LE 300 Coupé C-Pillar LH D</v>
      </c>
      <c r="EA29" s="6" t="str">
        <f t="shared" ca="1" si="3"/>
        <v>MERCEDEZ LE 300 Coupé C-Pillar RH D</v>
      </c>
      <c r="EB29" s="6" t="str">
        <f t="shared" ca="1" si="3"/>
        <v>BMW X7 C-Pillar LH F</v>
      </c>
      <c r="EC29" s="6" t="str">
        <f t="shared" ca="1" si="3"/>
        <v>BMW X7 C-Pillar RH F</v>
      </c>
      <c r="ED29" s="6" t="str">
        <f t="shared" ca="1" si="3"/>
        <v>BMW 420d Gran Coupé C-Pillar LH D</v>
      </c>
      <c r="EE29" s="6" t="str">
        <f t="shared" ca="1" si="3"/>
        <v>BMW 420d Gran Coupé C-Pillar RH D</v>
      </c>
      <c r="EF29" s="6" t="str">
        <f t="shared" ca="1" si="3"/>
        <v>BMW M550i xDrive C-Pillar LH E</v>
      </c>
      <c r="EG29" s="6" t="str">
        <f t="shared" ca="1" si="3"/>
        <v>BMW M550i xDrive C-Pillar RH E</v>
      </c>
      <c r="EH29" s="6" t="str">
        <f t="shared" ca="1" si="3"/>
        <v>MERCEDEZ GLE 53 IP LHD B</v>
      </c>
      <c r="EI29" s="6" t="str">
        <f t="shared" ca="1" si="3"/>
        <v>MERCEDEZ GLE 53 IP RHD B</v>
      </c>
      <c r="EJ29" s="6" t="str">
        <f t="shared" ca="1" si="3"/>
        <v>MERCEDEZ GLE 580 IP LHD B</v>
      </c>
      <c r="EK29" s="6" t="str">
        <f t="shared" ca="1" si="3"/>
        <v>MERCEDEZ GLE 580 IP RHD B</v>
      </c>
      <c r="EL29" s="6" t="str">
        <f t="shared" ca="1" si="3"/>
        <v>MERCEDEZ LE 300 Coupé IP LHD D</v>
      </c>
      <c r="EM29" s="6" t="str">
        <f t="shared" ca="1" si="3"/>
        <v>MERCEDEZ LE 300 Coupé IP RHD D</v>
      </c>
      <c r="EN29" s="6" t="str">
        <f t="shared" ca="1" si="3"/>
        <v>BMW X7 IP LHD F</v>
      </c>
      <c r="EO29" s="6" t="str">
        <f t="shared" ca="1" si="3"/>
        <v>BMW X7 IP RHD F</v>
      </c>
      <c r="EP29" s="6" t="str">
        <f t="shared" ca="1" si="3"/>
        <v>BMW 420d Gran Coupé IP LHD D</v>
      </c>
      <c r="EQ29" s="6" t="str">
        <f t="shared" ca="1" si="3"/>
        <v>BMW 420d Gran Coupé IP RHD D</v>
      </c>
      <c r="ER29" s="6" t="str">
        <f t="shared" ca="1" si="3"/>
        <v>BMW M550i xDrive IP LHD F</v>
      </c>
      <c r="ES29" s="6" t="str">
        <f t="shared" ca="1" si="3"/>
        <v>BMW M550i xDrive IP RHD F</v>
      </c>
      <c r="FI29" s="331"/>
    </row>
    <row r="30" spans="4:165" ht="24.95" customHeight="1" x14ac:dyDescent="0.4">
      <c r="D30" s="6" t="s">
        <v>175</v>
      </c>
      <c r="F30" s="149" t="s">
        <v>184</v>
      </c>
      <c r="G30" s="6" t="s">
        <v>178</v>
      </c>
      <c r="CR30" s="6" t="str">
        <f t="shared" ref="CR30:ES30" ca="1" si="4">IF((CR$18&amp; " " &amp;CR21)= (CR$18&amp; " "),"",CR$6&amp; " " &amp;CR21)</f>
        <v>MERCEDEZ GLE 53 Rear Axle C</v>
      </c>
      <c r="CS30" s="6" t="str">
        <f t="shared" ca="1" si="4"/>
        <v>MERCEDEZ GLE 580 Rear Axle C</v>
      </c>
      <c r="CT30" s="6" t="str">
        <f t="shared" ca="1" si="4"/>
        <v>MERCEDEZ LE 300 Coupé Rear Axle F</v>
      </c>
      <c r="CU30" s="6" t="str">
        <f t="shared" ca="1" si="4"/>
        <v>MERCEDEZ GLE 53 Front Axle C</v>
      </c>
      <c r="CV30" s="6" t="str">
        <f t="shared" ca="1" si="4"/>
        <v>MERCEDEZ GLE 580 Front Axle C</v>
      </c>
      <c r="CW30" s="6" t="str">
        <f t="shared" ca="1" si="4"/>
        <v>MERCEDEZ LE 300 Coupé Front Axle F</v>
      </c>
      <c r="CX30" s="6" t="str">
        <f t="shared" ca="1" si="4"/>
        <v>MERCEDEZ GLE 53 Rear Bumper C</v>
      </c>
      <c r="CY30" s="6" t="str">
        <f t="shared" ca="1" si="4"/>
        <v>MERCEDEZ GLE 580 Rear Bumper C</v>
      </c>
      <c r="CZ30" s="6" t="str">
        <f t="shared" ca="1" si="4"/>
        <v>MERCEDEZ LE 300 Coupé Rear Bumper F</v>
      </c>
      <c r="DA30" s="6" t="str">
        <f t="shared" si="4"/>
        <v/>
      </c>
      <c r="DB30" s="6" t="str">
        <f t="shared" ca="1" si="4"/>
        <v>BMW 420d Gran Coupé Rear Bumper E</v>
      </c>
      <c r="DC30" s="6" t="str">
        <f t="shared" ca="1" si="4"/>
        <v>BMW M550i xDrive Rear Bumper F</v>
      </c>
      <c r="DD30" s="6" t="str">
        <f t="shared" ca="1" si="4"/>
        <v>MERCEDEZ GLE 53 Front Bumper C</v>
      </c>
      <c r="DE30" s="6" t="str">
        <f t="shared" ca="1" si="4"/>
        <v>MERCEDEZ GLE 580 Front Bumper C</v>
      </c>
      <c r="DF30" s="6" t="str">
        <f t="shared" ca="1" si="4"/>
        <v>MERCEDEZ LE 300 Coupé Front Bumper F</v>
      </c>
      <c r="DG30" s="6" t="str">
        <f t="shared" si="4"/>
        <v/>
      </c>
      <c r="DH30" s="6" t="str">
        <f t="shared" ca="1" si="4"/>
        <v>BMW 420d Gran Coupé Front Bumper E</v>
      </c>
      <c r="DI30" s="6" t="str">
        <f t="shared" ca="1" si="4"/>
        <v>BMW M550i xDrive Front Bumper F</v>
      </c>
      <c r="DJ30" s="6" t="str">
        <f t="shared" si="4"/>
        <v/>
      </c>
      <c r="DK30" s="6" t="str">
        <f t="shared" si="4"/>
        <v/>
      </c>
      <c r="DL30" s="6" t="str">
        <f t="shared" ca="1" si="4"/>
        <v>BMW 420d Gran Coupé B-Pillar LH E</v>
      </c>
      <c r="DM30" s="6" t="str">
        <f t="shared" ca="1" si="4"/>
        <v>BMW 420d Gran Coupé B-Pillar RH E</v>
      </c>
      <c r="DN30" s="6" t="str">
        <f t="shared" ca="1" si="4"/>
        <v>BMW M550i xDrive B-Pillar LH F</v>
      </c>
      <c r="DO30" s="6" t="str">
        <f t="shared" ca="1" si="4"/>
        <v>BMW M550i xDrive B-Pillar RH F</v>
      </c>
      <c r="DP30" s="6" t="str">
        <f t="shared" si="4"/>
        <v/>
      </c>
      <c r="DQ30" s="6" t="str">
        <f t="shared" si="4"/>
        <v/>
      </c>
      <c r="DR30" s="6" t="str">
        <f t="shared" ca="1" si="4"/>
        <v>BMW 420d Gran Coupé A-Pillar LH E</v>
      </c>
      <c r="DS30" s="6" t="str">
        <f t="shared" ca="1" si="4"/>
        <v>BMW 420d Gran Coupé A-Pillar RH E</v>
      </c>
      <c r="DT30" s="6" t="str">
        <f t="shared" ca="1" si="4"/>
        <v>BMW M550i xDrive A-Pillar LH F</v>
      </c>
      <c r="DU30" s="6" t="str">
        <f t="shared" ca="1" si="4"/>
        <v>BMW M550i xDrive A-Pillar RH F</v>
      </c>
      <c r="DV30" s="6" t="str">
        <f t="shared" ca="1" si="4"/>
        <v>MERCEDEZ GLE 53 C-Pillar LH C</v>
      </c>
      <c r="DW30" s="6" t="str">
        <f t="shared" ca="1" si="4"/>
        <v>MERCEDEZ GLE 53 C-Pillar RH C</v>
      </c>
      <c r="DX30" s="6" t="str">
        <f t="shared" ca="1" si="4"/>
        <v>MERCEDEZ GLE 580 C-Pillar LH C</v>
      </c>
      <c r="DY30" s="6" t="str">
        <f t="shared" ca="1" si="4"/>
        <v>MERCEDEZ GLE 580 C-Pillar RH C</v>
      </c>
      <c r="DZ30" s="6" t="str">
        <f t="shared" ca="1" si="4"/>
        <v>MERCEDEZ LE 300 Coupé C-Pillar LH E</v>
      </c>
      <c r="EA30" s="6" t="str">
        <f t="shared" ca="1" si="4"/>
        <v>MERCEDEZ LE 300 Coupé C-Pillar RH E</v>
      </c>
      <c r="EB30" s="6" t="str">
        <f t="shared" si="4"/>
        <v/>
      </c>
      <c r="EC30" s="6" t="str">
        <f t="shared" si="4"/>
        <v/>
      </c>
      <c r="ED30" s="6" t="str">
        <f t="shared" ca="1" si="4"/>
        <v>BMW 420d Gran Coupé C-Pillar LH E</v>
      </c>
      <c r="EE30" s="6" t="str">
        <f t="shared" ca="1" si="4"/>
        <v>BMW 420d Gran Coupé C-Pillar RH E</v>
      </c>
      <c r="EF30" s="6" t="str">
        <f t="shared" ca="1" si="4"/>
        <v>BMW M550i xDrive C-Pillar LH F</v>
      </c>
      <c r="EG30" s="6" t="str">
        <f t="shared" ca="1" si="4"/>
        <v>BMW M550i xDrive C-Pillar RH F</v>
      </c>
      <c r="EH30" s="6" t="str">
        <f t="shared" ca="1" si="4"/>
        <v>MERCEDEZ GLE 53 IP LHD C</v>
      </c>
      <c r="EI30" s="6" t="str">
        <f t="shared" ca="1" si="4"/>
        <v>MERCEDEZ GLE 53 IP RHD C</v>
      </c>
      <c r="EJ30" s="6" t="str">
        <f t="shared" ca="1" si="4"/>
        <v>MERCEDEZ GLE 580 IP LHD C</v>
      </c>
      <c r="EK30" s="6" t="str">
        <f t="shared" ca="1" si="4"/>
        <v>MERCEDEZ GLE 580 IP RHD C</v>
      </c>
      <c r="EL30" s="6" t="str">
        <f t="shared" ca="1" si="4"/>
        <v>MERCEDEZ LE 300 Coupé IP LHD E</v>
      </c>
      <c r="EM30" s="6" t="str">
        <f t="shared" ca="1" si="4"/>
        <v>MERCEDEZ LE 300 Coupé IP RHD E</v>
      </c>
      <c r="EN30" s="6" t="str">
        <f t="shared" ca="1" si="4"/>
        <v>BMW X7 IP LHD HUD</v>
      </c>
      <c r="EO30" s="6" t="str">
        <f t="shared" ca="1" si="4"/>
        <v>BMW X7 IP RHD HUD</v>
      </c>
      <c r="EP30" s="6" t="str">
        <f t="shared" ca="1" si="4"/>
        <v>BMW 420d Gran Coupé IP LHD E</v>
      </c>
      <c r="EQ30" s="6" t="str">
        <f t="shared" ca="1" si="4"/>
        <v>BMW 420d Gran Coupé IP RHD E</v>
      </c>
      <c r="ER30" s="6" t="str">
        <f t="shared" ca="1" si="4"/>
        <v>BMW M550i xDrive IP LHD HUD</v>
      </c>
      <c r="ES30" s="6" t="str">
        <f t="shared" ca="1" si="4"/>
        <v>BMW M550i xDrive IP RHD HUD</v>
      </c>
      <c r="FI30" s="331"/>
    </row>
    <row r="31" spans="4:165" ht="24.95" customHeight="1" x14ac:dyDescent="0.4">
      <c r="D31" s="6" t="s">
        <v>176</v>
      </c>
      <c r="F31" s="149" t="s">
        <v>514</v>
      </c>
      <c r="G31" s="6" t="s">
        <v>179</v>
      </c>
      <c r="CR31" s="6" t="str">
        <f t="shared" ref="CR31:ES31" ca="1" si="5">IF((CR$18&amp; " " &amp;CR22)= (CR$18&amp; " "),"",CR$6&amp; " " &amp;CR22)</f>
        <v>MERCEDEZ GLE 53 Rear Axle D</v>
      </c>
      <c r="CS31" s="6" t="str">
        <f t="shared" ca="1" si="5"/>
        <v>MERCEDEZ GLE 580 Rear Axle D</v>
      </c>
      <c r="CT31" s="6" t="str">
        <f t="shared" si="5"/>
        <v/>
      </c>
      <c r="CU31" s="6" t="str">
        <f t="shared" ca="1" si="5"/>
        <v>MERCEDEZ GLE 53 Front Axle D</v>
      </c>
      <c r="CV31" s="6" t="str">
        <f t="shared" ca="1" si="5"/>
        <v>MERCEDEZ GLE 580 Front Axle D</v>
      </c>
      <c r="CW31" s="6" t="str">
        <f t="shared" si="5"/>
        <v/>
      </c>
      <c r="CX31" s="6" t="str">
        <f t="shared" ca="1" si="5"/>
        <v>MERCEDEZ GLE 53 Rear Bumper D</v>
      </c>
      <c r="CY31" s="6" t="str">
        <f t="shared" ca="1" si="5"/>
        <v>MERCEDEZ GLE 580 Rear Bumper D</v>
      </c>
      <c r="CZ31" s="6" t="str">
        <f t="shared" si="5"/>
        <v/>
      </c>
      <c r="DA31" s="6" t="str">
        <f t="shared" si="5"/>
        <v/>
      </c>
      <c r="DB31" s="6" t="str">
        <f t="shared" ca="1" si="5"/>
        <v>BMW 420d Gran Coupé Rear Bumper F</v>
      </c>
      <c r="DC31" s="6" t="str">
        <f t="shared" si="5"/>
        <v/>
      </c>
      <c r="DD31" s="6" t="str">
        <f t="shared" ca="1" si="5"/>
        <v>MERCEDEZ GLE 53 Front Bumper D</v>
      </c>
      <c r="DE31" s="6" t="str">
        <f t="shared" ca="1" si="5"/>
        <v>MERCEDEZ GLE 580 Front Bumper D</v>
      </c>
      <c r="DF31" s="6" t="str">
        <f t="shared" si="5"/>
        <v/>
      </c>
      <c r="DG31" s="6" t="str">
        <f t="shared" si="5"/>
        <v/>
      </c>
      <c r="DH31" s="6" t="str">
        <f t="shared" ca="1" si="5"/>
        <v>BMW 420d Gran Coupé Front Bumper F</v>
      </c>
      <c r="DI31" s="6" t="str">
        <f t="shared" si="5"/>
        <v/>
      </c>
      <c r="DJ31" s="6" t="str">
        <f t="shared" si="5"/>
        <v/>
      </c>
      <c r="DK31" s="6" t="str">
        <f t="shared" si="5"/>
        <v/>
      </c>
      <c r="DL31" s="6" t="str">
        <f t="shared" ca="1" si="5"/>
        <v>BMW 420d Gran Coupé B-Pillar LH F</v>
      </c>
      <c r="DM31" s="6" t="str">
        <f t="shared" ca="1" si="5"/>
        <v>BMW 420d Gran Coupé B-Pillar RH F</v>
      </c>
      <c r="DN31" s="6" t="str">
        <f t="shared" si="5"/>
        <v/>
      </c>
      <c r="DO31" s="6" t="str">
        <f t="shared" si="5"/>
        <v/>
      </c>
      <c r="DP31" s="6" t="str">
        <f t="shared" si="5"/>
        <v/>
      </c>
      <c r="DQ31" s="6" t="str">
        <f t="shared" si="5"/>
        <v/>
      </c>
      <c r="DR31" s="6" t="str">
        <f t="shared" ca="1" si="5"/>
        <v>BMW 420d Gran Coupé A-Pillar LH F</v>
      </c>
      <c r="DS31" s="6" t="str">
        <f t="shared" ca="1" si="5"/>
        <v>BMW 420d Gran Coupé A-Pillar RH F</v>
      </c>
      <c r="DT31" s="6" t="str">
        <f t="shared" si="5"/>
        <v/>
      </c>
      <c r="DU31" s="6" t="str">
        <f t="shared" si="5"/>
        <v/>
      </c>
      <c r="DV31" s="6" t="str">
        <f t="shared" ca="1" si="5"/>
        <v>MERCEDEZ GLE 53 C-Pillar LH D</v>
      </c>
      <c r="DW31" s="6" t="str">
        <f t="shared" ca="1" si="5"/>
        <v>MERCEDEZ GLE 53 C-Pillar RH D</v>
      </c>
      <c r="DX31" s="6" t="str">
        <f t="shared" ca="1" si="5"/>
        <v>MERCEDEZ GLE 580 C-Pillar LH D</v>
      </c>
      <c r="DY31" s="6" t="str">
        <f t="shared" ca="1" si="5"/>
        <v>MERCEDEZ GLE 580 C-Pillar RH D</v>
      </c>
      <c r="DZ31" s="6" t="str">
        <f t="shared" ca="1" si="5"/>
        <v>MERCEDEZ LE 300 Coupé C-Pillar LH F</v>
      </c>
      <c r="EA31" s="6" t="str">
        <f t="shared" ca="1" si="5"/>
        <v>MERCEDEZ LE 300 Coupé C-Pillar RH F</v>
      </c>
      <c r="EB31" s="6" t="str">
        <f t="shared" si="5"/>
        <v/>
      </c>
      <c r="EC31" s="6" t="str">
        <f t="shared" si="5"/>
        <v/>
      </c>
      <c r="ED31" s="6" t="str">
        <f t="shared" ca="1" si="5"/>
        <v>BMW 420d Gran Coupé C-Pillar LH F</v>
      </c>
      <c r="EE31" s="6" t="str">
        <f t="shared" ca="1" si="5"/>
        <v>BMW 420d Gran Coupé C-Pillar RH F</v>
      </c>
      <c r="EF31" s="6" t="str">
        <f t="shared" si="5"/>
        <v/>
      </c>
      <c r="EG31" s="6" t="str">
        <f t="shared" si="5"/>
        <v/>
      </c>
      <c r="EH31" s="6" t="str">
        <f t="shared" ca="1" si="5"/>
        <v>MERCEDEZ GLE 53 IP LHD D</v>
      </c>
      <c r="EI31" s="6" t="str">
        <f t="shared" ca="1" si="5"/>
        <v>MERCEDEZ GLE 53 IP RHD D</v>
      </c>
      <c r="EJ31" s="6" t="str">
        <f t="shared" ca="1" si="5"/>
        <v>MERCEDEZ GLE 580 IP LHD D</v>
      </c>
      <c r="EK31" s="6" t="str">
        <f t="shared" ca="1" si="5"/>
        <v>MERCEDEZ GLE 580 IP RHD D</v>
      </c>
      <c r="EL31" s="6" t="str">
        <f t="shared" ca="1" si="5"/>
        <v>MERCEDEZ LE 300 Coupé IP LHD F</v>
      </c>
      <c r="EM31" s="6" t="str">
        <f t="shared" ca="1" si="5"/>
        <v>MERCEDEZ LE 300 Coupé IP RHD F</v>
      </c>
      <c r="EN31" s="6" t="str">
        <f t="shared" si="5"/>
        <v/>
      </c>
      <c r="EO31" s="6" t="str">
        <f t="shared" si="5"/>
        <v/>
      </c>
      <c r="EP31" s="6" t="str">
        <f t="shared" ca="1" si="5"/>
        <v>BMW 420d Gran Coupé IP LHD F</v>
      </c>
      <c r="EQ31" s="6" t="str">
        <f t="shared" ca="1" si="5"/>
        <v>BMW 420d Gran Coupé IP RHD F</v>
      </c>
      <c r="ER31" s="6" t="str">
        <f t="shared" si="5"/>
        <v/>
      </c>
      <c r="ES31" s="6" t="str">
        <f t="shared" si="5"/>
        <v/>
      </c>
      <c r="FI31" s="331"/>
    </row>
    <row r="32" spans="4:165" ht="24.95" customHeight="1" x14ac:dyDescent="0.4">
      <c r="D32" s="6" t="s">
        <v>177</v>
      </c>
      <c r="F32" s="149" t="s">
        <v>515</v>
      </c>
      <c r="G32" s="6" t="s">
        <v>180</v>
      </c>
      <c r="CR32" s="6" t="str">
        <f t="shared" ref="CR32:ES32" ca="1" si="6">IF((CR$18&amp; " " &amp;CR23)= (CR$18&amp; " "),"",CR$6&amp; " " &amp;CR23)</f>
        <v>MERCEDEZ GLE 53 Rear Axle E</v>
      </c>
      <c r="CS32" s="6" t="str">
        <f t="shared" ca="1" si="6"/>
        <v>MERCEDEZ GLE 580 Rear Axle E</v>
      </c>
      <c r="CT32" s="6" t="str">
        <f t="shared" si="6"/>
        <v/>
      </c>
      <c r="CU32" s="6" t="str">
        <f t="shared" ca="1" si="6"/>
        <v>MERCEDEZ GLE 53 Front Axle E</v>
      </c>
      <c r="CV32" s="6" t="str">
        <f t="shared" ca="1" si="6"/>
        <v>MERCEDEZ GLE 580 Front Axle E</v>
      </c>
      <c r="CW32" s="6" t="str">
        <f t="shared" si="6"/>
        <v/>
      </c>
      <c r="CX32" s="6" t="str">
        <f t="shared" ca="1" si="6"/>
        <v>MERCEDEZ GLE 53 Rear Bumper E</v>
      </c>
      <c r="CY32" s="6" t="str">
        <f t="shared" ca="1" si="6"/>
        <v>MERCEDEZ GLE 580 Rear Bumper E</v>
      </c>
      <c r="CZ32" s="6" t="str">
        <f t="shared" si="6"/>
        <v/>
      </c>
      <c r="DA32" s="6" t="str">
        <f t="shared" si="6"/>
        <v/>
      </c>
      <c r="DB32" s="6" t="str">
        <f t="shared" si="6"/>
        <v/>
      </c>
      <c r="DC32" s="6" t="str">
        <f t="shared" si="6"/>
        <v/>
      </c>
      <c r="DD32" s="6" t="str">
        <f t="shared" ca="1" si="6"/>
        <v>MERCEDEZ GLE 53 Front Bumper E</v>
      </c>
      <c r="DE32" s="6" t="str">
        <f t="shared" ca="1" si="6"/>
        <v>MERCEDEZ GLE 580 Front Bumper E</v>
      </c>
      <c r="DF32" s="6" t="str">
        <f t="shared" si="6"/>
        <v/>
      </c>
      <c r="DG32" s="6" t="str">
        <f t="shared" si="6"/>
        <v/>
      </c>
      <c r="DH32" s="6" t="str">
        <f t="shared" si="6"/>
        <v/>
      </c>
      <c r="DI32" s="6" t="str">
        <f t="shared" si="6"/>
        <v/>
      </c>
      <c r="DJ32" s="6" t="str">
        <f t="shared" si="6"/>
        <v/>
      </c>
      <c r="DK32" s="6" t="str">
        <f t="shared" si="6"/>
        <v/>
      </c>
      <c r="DL32" s="6" t="str">
        <f t="shared" si="6"/>
        <v/>
      </c>
      <c r="DM32" s="6" t="str">
        <f t="shared" si="6"/>
        <v/>
      </c>
      <c r="DN32" s="6" t="str">
        <f t="shared" si="6"/>
        <v/>
      </c>
      <c r="DO32" s="6" t="str">
        <f t="shared" si="6"/>
        <v/>
      </c>
      <c r="DP32" s="6" t="str">
        <f t="shared" si="6"/>
        <v/>
      </c>
      <c r="DQ32" s="6" t="str">
        <f t="shared" si="6"/>
        <v/>
      </c>
      <c r="DR32" s="6" t="str">
        <f t="shared" si="6"/>
        <v/>
      </c>
      <c r="DS32" s="6" t="str">
        <f t="shared" si="6"/>
        <v/>
      </c>
      <c r="DT32" s="6" t="str">
        <f t="shared" si="6"/>
        <v/>
      </c>
      <c r="DU32" s="6" t="str">
        <f t="shared" si="6"/>
        <v/>
      </c>
      <c r="DV32" s="6" t="str">
        <f t="shared" ca="1" si="6"/>
        <v>MERCEDEZ GLE 53 C-Pillar LH E</v>
      </c>
      <c r="DW32" s="6" t="str">
        <f t="shared" ca="1" si="6"/>
        <v>MERCEDEZ GLE 53 C-Pillar RH E</v>
      </c>
      <c r="DX32" s="6" t="str">
        <f t="shared" ca="1" si="6"/>
        <v>MERCEDEZ GLE 580 C-Pillar LH E</v>
      </c>
      <c r="DY32" s="6" t="str">
        <f t="shared" ca="1" si="6"/>
        <v>MERCEDEZ GLE 580 C-Pillar RH E</v>
      </c>
      <c r="DZ32" s="6" t="str">
        <f t="shared" si="6"/>
        <v/>
      </c>
      <c r="EA32" s="6" t="str">
        <f t="shared" si="6"/>
        <v/>
      </c>
      <c r="EB32" s="6" t="str">
        <f t="shared" si="6"/>
        <v/>
      </c>
      <c r="EC32" s="6" t="str">
        <f t="shared" si="6"/>
        <v/>
      </c>
      <c r="ED32" s="6" t="str">
        <f t="shared" si="6"/>
        <v/>
      </c>
      <c r="EE32" s="6" t="str">
        <f t="shared" si="6"/>
        <v/>
      </c>
      <c r="EF32" s="6" t="str">
        <f t="shared" si="6"/>
        <v/>
      </c>
      <c r="EG32" s="6" t="str">
        <f t="shared" si="6"/>
        <v/>
      </c>
      <c r="EH32" s="6" t="str">
        <f t="shared" ca="1" si="6"/>
        <v>MERCEDEZ GLE 53 IP LHD E</v>
      </c>
      <c r="EI32" s="6" t="str">
        <f t="shared" ca="1" si="6"/>
        <v>MERCEDEZ GLE 53 IP RHD E</v>
      </c>
      <c r="EJ32" s="6" t="str">
        <f t="shared" ca="1" si="6"/>
        <v>MERCEDEZ GLE 580 IP LHD E</v>
      </c>
      <c r="EK32" s="6" t="str">
        <f t="shared" ca="1" si="6"/>
        <v>MERCEDEZ GLE 580 IP RHD E</v>
      </c>
      <c r="EL32" s="6" t="str">
        <f t="shared" ca="1" si="6"/>
        <v>MERCEDEZ LE 300 Coupé IP LHD HUD</v>
      </c>
      <c r="EM32" s="6" t="str">
        <f t="shared" ca="1" si="6"/>
        <v>MERCEDEZ LE 300 Coupé IP RHD HUD</v>
      </c>
      <c r="EN32" s="6" t="str">
        <f t="shared" si="6"/>
        <v/>
      </c>
      <c r="EO32" s="6" t="str">
        <f t="shared" si="6"/>
        <v/>
      </c>
      <c r="EP32" s="6" t="str">
        <f t="shared" ca="1" si="6"/>
        <v>BMW 420d Gran Coupé IP LHD HUD</v>
      </c>
      <c r="EQ32" s="6" t="str">
        <f t="shared" ca="1" si="6"/>
        <v>BMW 420d Gran Coupé IP RHD HUD</v>
      </c>
      <c r="ER32" s="6" t="str">
        <f t="shared" si="6"/>
        <v/>
      </c>
      <c r="ES32" s="6" t="str">
        <f t="shared" si="6"/>
        <v/>
      </c>
    </row>
    <row r="33" spans="4:149" ht="24.95" customHeight="1" x14ac:dyDescent="0.4">
      <c r="D33" s="6" t="s">
        <v>178</v>
      </c>
      <c r="F33" s="149" t="s">
        <v>185</v>
      </c>
      <c r="G33" s="6" t="s">
        <v>181</v>
      </c>
      <c r="CR33" s="6" t="str">
        <f ca="1">IF((CR$18&amp; " " &amp;CR24)= (CR$18&amp; " "),"",CR$6&amp; " " &amp;CR24)</f>
        <v>MERCEDEZ GLE 53 Rear Axle F</v>
      </c>
      <c r="CS33" s="6" t="str">
        <f t="shared" ref="CS33:ES33" ca="1" si="7">IF((CS$18&amp; " " &amp;CS24)= (CS$18&amp; " "),"",CS$6&amp; " " &amp;CS24)</f>
        <v>MERCEDEZ GLE 580 Rear Axle F</v>
      </c>
      <c r="CT33" s="6" t="str">
        <f t="shared" si="7"/>
        <v/>
      </c>
      <c r="CU33" s="6" t="str">
        <f t="shared" ca="1" si="7"/>
        <v>MERCEDEZ GLE 53 Front Axle F</v>
      </c>
      <c r="CV33" s="6" t="str">
        <f t="shared" ca="1" si="7"/>
        <v>MERCEDEZ GLE 580 Front Axle F</v>
      </c>
      <c r="CW33" s="6" t="str">
        <f t="shared" si="7"/>
        <v/>
      </c>
      <c r="CX33" s="6" t="str">
        <f t="shared" ca="1" si="7"/>
        <v>MERCEDEZ GLE 53 Rear Bumper F</v>
      </c>
      <c r="CY33" s="6" t="str">
        <f t="shared" ca="1" si="7"/>
        <v>MERCEDEZ GLE 580 Rear Bumper F</v>
      </c>
      <c r="CZ33" s="6" t="str">
        <f t="shared" si="7"/>
        <v/>
      </c>
      <c r="DA33" s="6" t="str">
        <f t="shared" si="7"/>
        <v/>
      </c>
      <c r="DB33" s="6" t="str">
        <f t="shared" si="7"/>
        <v/>
      </c>
      <c r="DC33" s="6" t="str">
        <f t="shared" si="7"/>
        <v/>
      </c>
      <c r="DD33" s="6" t="str">
        <f t="shared" ca="1" si="7"/>
        <v>MERCEDEZ GLE 53 Front Bumper F</v>
      </c>
      <c r="DE33" s="6" t="str">
        <f t="shared" ca="1" si="7"/>
        <v>MERCEDEZ GLE 580 Front Bumper F</v>
      </c>
      <c r="DF33" s="6" t="str">
        <f t="shared" si="7"/>
        <v/>
      </c>
      <c r="DG33" s="6" t="str">
        <f t="shared" si="7"/>
        <v/>
      </c>
      <c r="DH33" s="6" t="str">
        <f t="shared" si="7"/>
        <v/>
      </c>
      <c r="DI33" s="6" t="str">
        <f t="shared" si="7"/>
        <v/>
      </c>
      <c r="DJ33" s="6" t="str">
        <f t="shared" si="7"/>
        <v/>
      </c>
      <c r="DK33" s="6" t="str">
        <f t="shared" si="7"/>
        <v/>
      </c>
      <c r="DL33" s="6" t="str">
        <f t="shared" si="7"/>
        <v/>
      </c>
      <c r="DM33" s="6" t="str">
        <f t="shared" si="7"/>
        <v/>
      </c>
      <c r="DN33" s="6" t="str">
        <f t="shared" si="7"/>
        <v/>
      </c>
      <c r="DO33" s="6" t="str">
        <f t="shared" si="7"/>
        <v/>
      </c>
      <c r="DP33" s="6" t="str">
        <f t="shared" si="7"/>
        <v/>
      </c>
      <c r="DQ33" s="6" t="str">
        <f t="shared" si="7"/>
        <v/>
      </c>
      <c r="DR33" s="6" t="str">
        <f t="shared" si="7"/>
        <v/>
      </c>
      <c r="DS33" s="6" t="str">
        <f t="shared" si="7"/>
        <v/>
      </c>
      <c r="DT33" s="6" t="str">
        <f t="shared" si="7"/>
        <v/>
      </c>
      <c r="DU33" s="6" t="str">
        <f t="shared" si="7"/>
        <v/>
      </c>
      <c r="DV33" s="6" t="str">
        <f t="shared" ca="1" si="7"/>
        <v>MERCEDEZ GLE 53 C-Pillar LH F</v>
      </c>
      <c r="DW33" s="6" t="str">
        <f t="shared" ca="1" si="7"/>
        <v>MERCEDEZ GLE 53 C-Pillar RH F</v>
      </c>
      <c r="DX33" s="6" t="str">
        <f t="shared" ca="1" si="7"/>
        <v>MERCEDEZ GLE 580 C-Pillar LH F</v>
      </c>
      <c r="DY33" s="6" t="str">
        <f t="shared" ca="1" si="7"/>
        <v>MERCEDEZ GLE 580 C-Pillar RH F</v>
      </c>
      <c r="DZ33" s="6" t="str">
        <f t="shared" si="7"/>
        <v/>
      </c>
      <c r="EA33" s="6" t="str">
        <f t="shared" si="7"/>
        <v/>
      </c>
      <c r="EB33" s="6" t="str">
        <f t="shared" si="7"/>
        <v/>
      </c>
      <c r="EC33" s="6" t="str">
        <f t="shared" si="7"/>
        <v/>
      </c>
      <c r="ED33" s="6" t="str">
        <f t="shared" si="7"/>
        <v/>
      </c>
      <c r="EE33" s="6" t="str">
        <f t="shared" si="7"/>
        <v/>
      </c>
      <c r="EF33" s="6" t="str">
        <f t="shared" si="7"/>
        <v/>
      </c>
      <c r="EG33" s="6" t="str">
        <f t="shared" si="7"/>
        <v/>
      </c>
      <c r="EH33" s="6" t="str">
        <f t="shared" ca="1" si="7"/>
        <v>MERCEDEZ GLE 53 IP LHD F</v>
      </c>
      <c r="EI33" s="6" t="str">
        <f t="shared" ca="1" si="7"/>
        <v>MERCEDEZ GLE 53 IP RHD F</v>
      </c>
      <c r="EJ33" s="6" t="str">
        <f t="shared" ca="1" si="7"/>
        <v>MERCEDEZ GLE 580 IP LHD F</v>
      </c>
      <c r="EK33" s="6" t="str">
        <f t="shared" ca="1" si="7"/>
        <v>MERCEDEZ GLE 580 IP RHD F</v>
      </c>
      <c r="EL33" s="6" t="str">
        <f t="shared" si="7"/>
        <v/>
      </c>
      <c r="EM33" s="6" t="str">
        <f t="shared" si="7"/>
        <v/>
      </c>
      <c r="EN33" s="6" t="str">
        <f t="shared" si="7"/>
        <v/>
      </c>
      <c r="EO33" s="6" t="str">
        <f t="shared" si="7"/>
        <v/>
      </c>
      <c r="EP33" s="6" t="str">
        <f t="shared" si="7"/>
        <v/>
      </c>
      <c r="EQ33" s="6" t="str">
        <f t="shared" si="7"/>
        <v/>
      </c>
      <c r="ER33" s="6" t="str">
        <f t="shared" si="7"/>
        <v/>
      </c>
      <c r="ES33" s="6" t="str">
        <f t="shared" si="7"/>
        <v/>
      </c>
    </row>
    <row r="34" spans="4:149" ht="24.95" customHeight="1" x14ac:dyDescent="0.4">
      <c r="D34" s="6" t="s">
        <v>179</v>
      </c>
      <c r="F34" s="149" t="s">
        <v>186</v>
      </c>
      <c r="G34" s="6" t="s">
        <v>182</v>
      </c>
      <c r="CR34" s="6"/>
    </row>
    <row r="35" spans="4:149" ht="24.95" customHeight="1" x14ac:dyDescent="0.4">
      <c r="D35" s="6" t="s">
        <v>180</v>
      </c>
      <c r="F35" s="149" t="s">
        <v>193</v>
      </c>
      <c r="G35" s="6" t="s">
        <v>187</v>
      </c>
    </row>
    <row r="36" spans="4:149" ht="24.95" customHeight="1" x14ac:dyDescent="0.4">
      <c r="D36" s="6" t="s">
        <v>181</v>
      </c>
      <c r="F36" s="149" t="s">
        <v>194</v>
      </c>
      <c r="G36" s="6" t="s">
        <v>188</v>
      </c>
      <c r="CR36" s="4" t="s">
        <v>206</v>
      </c>
    </row>
    <row r="37" spans="4:149" ht="24.95" customHeight="1" x14ac:dyDescent="0.4">
      <c r="D37" s="6" t="s">
        <v>182</v>
      </c>
      <c r="F37" s="149" t="s">
        <v>516</v>
      </c>
      <c r="G37" s="6" t="s">
        <v>189</v>
      </c>
    </row>
    <row r="38" spans="4:149" ht="24.95" customHeight="1" x14ac:dyDescent="0.4">
      <c r="D38" s="6" t="s">
        <v>183</v>
      </c>
      <c r="F38" s="149" t="s">
        <v>517</v>
      </c>
      <c r="G38" s="6" t="s">
        <v>190</v>
      </c>
    </row>
    <row r="39" spans="4:149" ht="24.95" customHeight="1" x14ac:dyDescent="0.4">
      <c r="D39" s="6" t="s">
        <v>184</v>
      </c>
      <c r="F39" s="149" t="s">
        <v>195</v>
      </c>
      <c r="G39" s="6" t="s">
        <v>191</v>
      </c>
    </row>
    <row r="40" spans="4:149" ht="24.95" customHeight="1" x14ac:dyDescent="0.4">
      <c r="D40" s="6" t="s">
        <v>514</v>
      </c>
      <c r="F40" s="150" t="s">
        <v>196</v>
      </c>
      <c r="G40" s="6" t="s">
        <v>192</v>
      </c>
    </row>
    <row r="41" spans="4:149" ht="24.95" customHeight="1" x14ac:dyDescent="0.4">
      <c r="D41" s="6" t="s">
        <v>515</v>
      </c>
      <c r="G41" s="149" t="s">
        <v>197</v>
      </c>
    </row>
    <row r="42" spans="4:149" ht="24.95" customHeight="1" x14ac:dyDescent="0.4">
      <c r="D42" s="6" t="s">
        <v>185</v>
      </c>
      <c r="G42" s="149" t="s">
        <v>198</v>
      </c>
    </row>
    <row r="43" spans="4:149" ht="24.95" customHeight="1" x14ac:dyDescent="0.4">
      <c r="D43" s="6" t="s">
        <v>186</v>
      </c>
      <c r="G43" s="149" t="s">
        <v>199</v>
      </c>
    </row>
    <row r="44" spans="4:149" ht="24.95" customHeight="1" x14ac:dyDescent="0.4">
      <c r="D44" s="6" t="s">
        <v>187</v>
      </c>
      <c r="G44" s="149" t="s">
        <v>200</v>
      </c>
    </row>
    <row r="45" spans="4:149" ht="24.95" customHeight="1" x14ac:dyDescent="0.4">
      <c r="D45" s="6" t="s">
        <v>188</v>
      </c>
      <c r="G45" s="149" t="s">
        <v>201</v>
      </c>
    </row>
    <row r="46" spans="4:149" ht="24.95" customHeight="1" x14ac:dyDescent="0.4">
      <c r="D46" s="6" t="s">
        <v>189</v>
      </c>
      <c r="G46" s="150" t="s">
        <v>202</v>
      </c>
    </row>
    <row r="47" spans="4:149" ht="24.95" customHeight="1" x14ac:dyDescent="0.4">
      <c r="D47" s="6" t="s">
        <v>190</v>
      </c>
    </row>
    <row r="48" spans="4:149" ht="24.95" customHeight="1" x14ac:dyDescent="0.4">
      <c r="D48" s="6" t="s">
        <v>191</v>
      </c>
    </row>
    <row r="49" spans="4:4" ht="24.95" customHeight="1" x14ac:dyDescent="0.4">
      <c r="D49" s="6" t="s">
        <v>192</v>
      </c>
    </row>
    <row r="50" spans="4:4" ht="24.95" customHeight="1" x14ac:dyDescent="0.4">
      <c r="D50" s="6" t="s">
        <v>193</v>
      </c>
    </row>
    <row r="51" spans="4:4" ht="24.95" customHeight="1" x14ac:dyDescent="0.4">
      <c r="D51" s="6" t="s">
        <v>194</v>
      </c>
    </row>
    <row r="52" spans="4:4" ht="24.95" customHeight="1" x14ac:dyDescent="0.4">
      <c r="D52" s="6" t="s">
        <v>516</v>
      </c>
    </row>
    <row r="53" spans="4:4" ht="24.95" customHeight="1" x14ac:dyDescent="0.4">
      <c r="D53" s="6" t="s">
        <v>517</v>
      </c>
    </row>
    <row r="54" spans="4:4" ht="24.95" customHeight="1" x14ac:dyDescent="0.4">
      <c r="D54" s="6" t="s">
        <v>195</v>
      </c>
    </row>
    <row r="55" spans="4:4" ht="24.95" customHeight="1" x14ac:dyDescent="0.4">
      <c r="D55" s="6" t="s">
        <v>196</v>
      </c>
    </row>
    <row r="56" spans="4:4" ht="24.95" customHeight="1" x14ac:dyDescent="0.4">
      <c r="D56" s="6" t="s">
        <v>197</v>
      </c>
    </row>
    <row r="57" spans="4:4" ht="24.95" customHeight="1" x14ac:dyDescent="0.4">
      <c r="D57" s="6" t="s">
        <v>198</v>
      </c>
    </row>
    <row r="58" spans="4:4" ht="24.95" customHeight="1" x14ac:dyDescent="0.4">
      <c r="D58" s="6" t="s">
        <v>199</v>
      </c>
    </row>
    <row r="59" spans="4:4" ht="24.95" customHeight="1" x14ac:dyDescent="0.4">
      <c r="D59" s="6" t="s">
        <v>200</v>
      </c>
    </row>
    <row r="60" spans="4:4" ht="24.95" customHeight="1" x14ac:dyDescent="0.4">
      <c r="D60" s="6" t="s">
        <v>201</v>
      </c>
    </row>
    <row r="61" spans="4:4" ht="24.95" customHeight="1" x14ac:dyDescent="0.4">
      <c r="D61" s="6" t="s">
        <v>202</v>
      </c>
    </row>
    <row r="62" spans="4:4" ht="24.95" customHeight="1" x14ac:dyDescent="0.4"/>
    <row r="63" spans="4:4" ht="24.95" customHeight="1" x14ac:dyDescent="0.4"/>
    <row r="64" spans="4:4" ht="24.95" customHeight="1" x14ac:dyDescent="0.4"/>
    <row r="65" ht="24.95" customHeight="1" x14ac:dyDescent="0.4"/>
    <row r="66" ht="24.95" customHeight="1" x14ac:dyDescent="0.4"/>
    <row r="67" ht="24.95" customHeight="1" x14ac:dyDescent="0.4"/>
    <row r="68" ht="24.95" customHeight="1" x14ac:dyDescent="0.4"/>
    <row r="69" ht="24.95" customHeight="1" x14ac:dyDescent="0.4"/>
    <row r="70" ht="24.95" customHeight="1" x14ac:dyDescent="0.4"/>
    <row r="71" ht="24.95" customHeight="1" x14ac:dyDescent="0.4"/>
    <row r="72" ht="24.95" customHeight="1" x14ac:dyDescent="0.4"/>
    <row r="73" ht="24.95" customHeight="1" x14ac:dyDescent="0.4"/>
    <row r="74" ht="24.95" customHeight="1" x14ac:dyDescent="0.4"/>
    <row r="75" ht="24.95" customHeight="1" x14ac:dyDescent="0.4"/>
    <row r="76" ht="24.95" customHeight="1" x14ac:dyDescent="0.4"/>
    <row r="77" ht="24.95" customHeight="1" x14ac:dyDescent="0.4"/>
    <row r="78" ht="24.95" customHeight="1" x14ac:dyDescent="0.4"/>
    <row r="79" ht="24.95" customHeight="1" x14ac:dyDescent="0.4"/>
    <row r="80" ht="24.95" customHeight="1" x14ac:dyDescent="0.4"/>
    <row r="81" ht="24.95" customHeight="1" x14ac:dyDescent="0.4"/>
    <row r="82" ht="24.95" customHeight="1" x14ac:dyDescent="0.4"/>
    <row r="83" ht="24.95" customHeight="1" x14ac:dyDescent="0.4"/>
    <row r="84" ht="24.95" customHeight="1" x14ac:dyDescent="0.4"/>
    <row r="85" ht="24.95" customHeight="1" x14ac:dyDescent="0.4"/>
    <row r="86" ht="24.95" customHeight="1" x14ac:dyDescent="0.4"/>
    <row r="87" ht="24.95" customHeight="1" x14ac:dyDescent="0.4"/>
    <row r="88" ht="24.95" customHeight="1" x14ac:dyDescent="0.4"/>
    <row r="89" ht="24.95" customHeight="1" x14ac:dyDescent="0.4"/>
    <row r="90" ht="24.95" customHeight="1" x14ac:dyDescent="0.4"/>
    <row r="91" ht="24.95" customHeight="1" x14ac:dyDescent="0.4"/>
    <row r="92" ht="24.95" customHeight="1" x14ac:dyDescent="0.4"/>
    <row r="93" ht="24.95" customHeight="1" x14ac:dyDescent="0.4"/>
    <row r="94" ht="24.95" customHeight="1" x14ac:dyDescent="0.4"/>
    <row r="95" ht="24.95" customHeight="1" x14ac:dyDescent="0.4"/>
    <row r="96" ht="24.95" customHeight="1" x14ac:dyDescent="0.4"/>
    <row r="97" ht="24.95" customHeight="1" x14ac:dyDescent="0.4"/>
    <row r="98" ht="24.95" customHeight="1" x14ac:dyDescent="0.4"/>
    <row r="99" ht="24.95" customHeight="1" x14ac:dyDescent="0.4"/>
    <row r="100" ht="24.95" customHeight="1" x14ac:dyDescent="0.4"/>
    <row r="101" ht="24.95" customHeight="1" x14ac:dyDescent="0.4"/>
    <row r="102" ht="24.95" customHeight="1" x14ac:dyDescent="0.4"/>
    <row r="103" ht="24.95" customHeight="1" x14ac:dyDescent="0.4"/>
    <row r="104" ht="24.95" customHeight="1" x14ac:dyDescent="0.4"/>
    <row r="105" ht="24.95" customHeight="1" x14ac:dyDescent="0.4"/>
    <row r="106" ht="24.95" customHeight="1" x14ac:dyDescent="0.4"/>
    <row r="107" ht="24.95" customHeight="1" x14ac:dyDescent="0.4"/>
    <row r="108" ht="24.95" customHeight="1" x14ac:dyDescent="0.4"/>
    <row r="109" ht="24.95" customHeight="1" x14ac:dyDescent="0.4"/>
    <row r="110" ht="24.95" customHeight="1" x14ac:dyDescent="0.4"/>
    <row r="111" ht="24.95" customHeight="1" x14ac:dyDescent="0.4"/>
    <row r="112" ht="24.95" customHeight="1" x14ac:dyDescent="0.4"/>
    <row r="113" ht="24.95" customHeight="1" x14ac:dyDescent="0.4"/>
    <row r="114" ht="24.95" customHeight="1" x14ac:dyDescent="0.4"/>
    <row r="115" ht="24.95" customHeight="1" x14ac:dyDescent="0.4"/>
    <row r="116" ht="24.95" customHeight="1" x14ac:dyDescent="0.4"/>
    <row r="117" ht="24.95" customHeight="1" x14ac:dyDescent="0.4"/>
    <row r="118" ht="24.95" customHeight="1" x14ac:dyDescent="0.4"/>
    <row r="119" ht="24.95" customHeight="1" x14ac:dyDescent="0.4"/>
    <row r="120" ht="24.95" customHeight="1" x14ac:dyDescent="0.4"/>
    <row r="121" ht="24.95" customHeight="1" x14ac:dyDescent="0.4"/>
    <row r="122" ht="24.95" customHeight="1" x14ac:dyDescent="0.4"/>
    <row r="123" ht="24.95" customHeight="1" x14ac:dyDescent="0.4"/>
    <row r="124" ht="24.95" customHeight="1" x14ac:dyDescent="0.4"/>
    <row r="125" ht="24.95" customHeight="1" x14ac:dyDescent="0.4"/>
    <row r="126" ht="24.95" customHeight="1" x14ac:dyDescent="0.4"/>
    <row r="127" ht="24.95" customHeight="1" x14ac:dyDescent="0.4"/>
    <row r="128" ht="24.95" customHeight="1" x14ac:dyDescent="0.4"/>
    <row r="129" ht="24.95" customHeight="1" x14ac:dyDescent="0.4"/>
    <row r="130" ht="24.95" customHeight="1" x14ac:dyDescent="0.4"/>
    <row r="131" ht="24.95" customHeight="1" x14ac:dyDescent="0.4"/>
    <row r="132" ht="24.95" customHeight="1" x14ac:dyDescent="0.4"/>
    <row r="133" ht="24.95" customHeight="1" x14ac:dyDescent="0.4"/>
    <row r="134" ht="24.95" customHeight="1" x14ac:dyDescent="0.4"/>
    <row r="135" ht="24.95" customHeight="1" x14ac:dyDescent="0.4"/>
    <row r="136" ht="24.95" customHeight="1" x14ac:dyDescent="0.4"/>
    <row r="137" ht="24.95" customHeight="1" x14ac:dyDescent="0.4"/>
    <row r="138" ht="24.95" customHeight="1" x14ac:dyDescent="0.4"/>
    <row r="139" ht="24.95" customHeight="1" x14ac:dyDescent="0.4"/>
    <row r="140" ht="24.95" customHeight="1" x14ac:dyDescent="0.4"/>
    <row r="141" ht="24.95" customHeight="1" x14ac:dyDescent="0.4"/>
    <row r="142" ht="24.95" customHeight="1" x14ac:dyDescent="0.4"/>
    <row r="143" ht="24.95" customHeight="1" x14ac:dyDescent="0.4"/>
    <row r="144" ht="24.95" customHeight="1" x14ac:dyDescent="0.4"/>
    <row r="145" ht="24.95" customHeight="1" x14ac:dyDescent="0.4"/>
    <row r="146" ht="24.95" customHeight="1" x14ac:dyDescent="0.4"/>
    <row r="147" ht="24.95" customHeight="1" x14ac:dyDescent="0.4"/>
    <row r="148" ht="24.95" customHeight="1" x14ac:dyDescent="0.4"/>
    <row r="149" ht="24.95" customHeight="1" x14ac:dyDescent="0.4"/>
    <row r="150" ht="24.95" customHeight="1" x14ac:dyDescent="0.4"/>
    <row r="151" ht="24.95" customHeight="1" x14ac:dyDescent="0.4"/>
    <row r="152" ht="24.95" customHeight="1" x14ac:dyDescent="0.4"/>
    <row r="153" ht="24.95" customHeight="1" x14ac:dyDescent="0.4"/>
    <row r="154" ht="24.95" customHeight="1" x14ac:dyDescent="0.4"/>
    <row r="155" ht="24.95" customHeight="1" x14ac:dyDescent="0.4"/>
    <row r="156" ht="24.95" customHeight="1" x14ac:dyDescent="0.4"/>
    <row r="157" ht="24.95" customHeight="1" x14ac:dyDescent="0.4"/>
    <row r="158" ht="24.95" customHeight="1" x14ac:dyDescent="0.4"/>
    <row r="159" ht="24.95" customHeight="1" x14ac:dyDescent="0.4"/>
    <row r="160" ht="24.95" customHeight="1" x14ac:dyDescent="0.4"/>
    <row r="161" ht="24.95" customHeight="1" x14ac:dyDescent="0.4"/>
    <row r="162" ht="24.95" customHeight="1" x14ac:dyDescent="0.4"/>
    <row r="163" ht="24.95" customHeight="1" x14ac:dyDescent="0.4"/>
    <row r="164" ht="24.95" customHeight="1" x14ac:dyDescent="0.4"/>
    <row r="165" ht="24.95" customHeight="1" x14ac:dyDescent="0.4"/>
    <row r="166" ht="24.95" customHeight="1" x14ac:dyDescent="0.4"/>
    <row r="167" ht="24.95" customHeight="1" x14ac:dyDescent="0.4"/>
    <row r="168" ht="24.95" customHeight="1" x14ac:dyDescent="0.4"/>
    <row r="169" ht="24.95" customHeight="1" x14ac:dyDescent="0.4"/>
    <row r="170" ht="24.95" customHeight="1" x14ac:dyDescent="0.4"/>
    <row r="171" ht="24.95" customHeight="1" x14ac:dyDescent="0.4"/>
    <row r="172" ht="24.95" customHeight="1" x14ac:dyDescent="0.4"/>
    <row r="173" ht="24.95" customHeight="1" x14ac:dyDescent="0.4"/>
    <row r="174" ht="24.95" customHeight="1" x14ac:dyDescent="0.4"/>
    <row r="175" ht="24.95" customHeight="1" x14ac:dyDescent="0.4"/>
    <row r="176" ht="24.95" customHeight="1" x14ac:dyDescent="0.4"/>
    <row r="177" ht="24.95" customHeight="1" x14ac:dyDescent="0.4"/>
    <row r="178" ht="24.95" customHeight="1" x14ac:dyDescent="0.4"/>
    <row r="179" ht="24.95" customHeight="1" x14ac:dyDescent="0.4"/>
    <row r="180" ht="24.95" customHeight="1" x14ac:dyDescent="0.4"/>
    <row r="181" ht="24.95" customHeight="1" x14ac:dyDescent="0.4"/>
    <row r="182" ht="24.95" customHeight="1" x14ac:dyDescent="0.4"/>
    <row r="183" ht="24.95" customHeight="1" x14ac:dyDescent="0.4"/>
    <row r="184" ht="24.95" customHeight="1" x14ac:dyDescent="0.4"/>
    <row r="185" ht="24.95" customHeight="1" x14ac:dyDescent="0.4"/>
    <row r="186" ht="24.95" customHeight="1" x14ac:dyDescent="0.4"/>
    <row r="187" ht="24.95" customHeight="1" x14ac:dyDescent="0.4"/>
    <row r="188" ht="24.95" customHeight="1" x14ac:dyDescent="0.4"/>
    <row r="189" ht="24.95" customHeight="1" x14ac:dyDescent="0.4"/>
    <row r="190" ht="24.95" customHeight="1" x14ac:dyDescent="0.4"/>
    <row r="191" ht="24.95" customHeight="1" x14ac:dyDescent="0.4"/>
    <row r="192" ht="24.95" customHeight="1" x14ac:dyDescent="0.4"/>
    <row r="193" ht="24.95" customHeight="1" x14ac:dyDescent="0.4"/>
    <row r="194" ht="24.95" customHeight="1" x14ac:dyDescent="0.4"/>
    <row r="195" ht="24.95" customHeight="1" x14ac:dyDescent="0.4"/>
    <row r="196" ht="24.95" customHeight="1" x14ac:dyDescent="0.4"/>
    <row r="197" ht="24.95" customHeight="1" x14ac:dyDescent="0.4"/>
    <row r="198" ht="24.95" customHeight="1" x14ac:dyDescent="0.4"/>
    <row r="199" ht="24.95" customHeight="1" x14ac:dyDescent="0.4"/>
    <row r="200" ht="24.95" customHeight="1" x14ac:dyDescent="0.4"/>
    <row r="201" ht="24.95" customHeight="1" x14ac:dyDescent="0.4"/>
    <row r="202" ht="24.95" customHeight="1" x14ac:dyDescent="0.4"/>
    <row r="203" ht="24.95" customHeight="1" x14ac:dyDescent="0.4"/>
    <row r="204" ht="24.95" customHeight="1" x14ac:dyDescent="0.4"/>
    <row r="205" ht="24.95" customHeight="1" x14ac:dyDescent="0.4"/>
    <row r="206" ht="24.95" customHeight="1" x14ac:dyDescent="0.4"/>
    <row r="207" ht="24.95" customHeight="1" x14ac:dyDescent="0.4"/>
    <row r="208" ht="24.95" customHeight="1" x14ac:dyDescent="0.4"/>
    <row r="209" ht="24.95" customHeight="1" x14ac:dyDescent="0.4"/>
    <row r="210" ht="24.95" customHeight="1" x14ac:dyDescent="0.4"/>
    <row r="211" ht="24.95" customHeight="1" x14ac:dyDescent="0.4"/>
    <row r="212" ht="24.95" customHeight="1" x14ac:dyDescent="0.4"/>
    <row r="213" ht="24.95" customHeight="1" x14ac:dyDescent="0.4"/>
    <row r="214" ht="24.95" customHeight="1" x14ac:dyDescent="0.4"/>
    <row r="215" ht="24.95" customHeight="1" x14ac:dyDescent="0.4"/>
    <row r="216" ht="24.95" customHeight="1" x14ac:dyDescent="0.4"/>
    <row r="217" ht="24.95" customHeight="1" x14ac:dyDescent="0.4"/>
    <row r="218" ht="24.95" customHeight="1" x14ac:dyDescent="0.4"/>
    <row r="219" ht="24.95" customHeight="1" x14ac:dyDescent="0.4"/>
    <row r="220" ht="24.95" customHeight="1" x14ac:dyDescent="0.4"/>
    <row r="221" ht="24.95" customHeight="1" x14ac:dyDescent="0.4"/>
    <row r="222" ht="24.95" customHeight="1" x14ac:dyDescent="0.4"/>
    <row r="223" ht="24.95" customHeight="1" x14ac:dyDescent="0.4"/>
    <row r="224" ht="24.95" customHeight="1" x14ac:dyDescent="0.4"/>
    <row r="225" ht="24.95" customHeight="1" x14ac:dyDescent="0.4"/>
    <row r="226" ht="24.95" customHeight="1" x14ac:dyDescent="0.4"/>
    <row r="227" ht="24.95" customHeight="1" x14ac:dyDescent="0.4"/>
    <row r="228" ht="24.95" customHeight="1" x14ac:dyDescent="0.4"/>
    <row r="229" ht="24.95" customHeight="1" x14ac:dyDescent="0.4"/>
    <row r="230" ht="24.95" customHeight="1" x14ac:dyDescent="0.4"/>
    <row r="231" ht="24.95" customHeight="1" x14ac:dyDescent="0.4"/>
    <row r="232" ht="24.95" customHeight="1" x14ac:dyDescent="0.4"/>
    <row r="233" ht="24.95" customHeight="1" x14ac:dyDescent="0.4"/>
    <row r="234" ht="24.95" customHeight="1" x14ac:dyDescent="0.4"/>
    <row r="235" ht="24.95" customHeight="1" x14ac:dyDescent="0.4"/>
    <row r="236" ht="24.95" customHeight="1" x14ac:dyDescent="0.4"/>
    <row r="237" ht="24.95" customHeight="1" x14ac:dyDescent="0.4"/>
    <row r="238" ht="24.95" customHeight="1" x14ac:dyDescent="0.4"/>
    <row r="239" ht="24.95" customHeight="1" x14ac:dyDescent="0.4"/>
    <row r="240" ht="24.95" customHeight="1" x14ac:dyDescent="0.4"/>
    <row r="241" ht="24.95" customHeight="1" x14ac:dyDescent="0.4"/>
    <row r="242" ht="24.95" customHeight="1" x14ac:dyDescent="0.4"/>
    <row r="243" ht="24.95" customHeight="1" x14ac:dyDescent="0.4"/>
    <row r="244" ht="24.95" customHeight="1" x14ac:dyDescent="0.4"/>
    <row r="245" ht="24.95" customHeight="1" x14ac:dyDescent="0.4"/>
    <row r="246" ht="24.95" customHeight="1" x14ac:dyDescent="0.4"/>
    <row r="247" ht="24.95" customHeight="1" x14ac:dyDescent="0.4"/>
    <row r="248" ht="24.95" customHeight="1" x14ac:dyDescent="0.4"/>
    <row r="249" ht="24.95" customHeight="1" x14ac:dyDescent="0.4"/>
    <row r="250" ht="24.95" customHeight="1" x14ac:dyDescent="0.4"/>
    <row r="251" ht="24.95" customHeight="1" x14ac:dyDescent="0.4"/>
    <row r="252" ht="24.95" customHeight="1" x14ac:dyDescent="0.4"/>
    <row r="253" ht="24.95" customHeight="1" x14ac:dyDescent="0.4"/>
    <row r="254" ht="24.95" customHeight="1" x14ac:dyDescent="0.4"/>
    <row r="255" ht="24.95" customHeight="1" x14ac:dyDescent="0.4"/>
    <row r="256" ht="24.95" customHeight="1" x14ac:dyDescent="0.4"/>
    <row r="257" ht="24.95" customHeight="1" x14ac:dyDescent="0.4"/>
    <row r="258" ht="24.95" customHeight="1" x14ac:dyDescent="0.4"/>
    <row r="259" ht="24.95" customHeight="1" x14ac:dyDescent="0.4"/>
    <row r="260" ht="24.95" customHeight="1" x14ac:dyDescent="0.4"/>
    <row r="261" ht="24.95" customHeight="1" x14ac:dyDescent="0.4"/>
    <row r="262" ht="24.95" customHeight="1" x14ac:dyDescent="0.4"/>
    <row r="263" ht="24.95" customHeight="1" x14ac:dyDescent="0.4"/>
    <row r="264" ht="24.95" customHeight="1" x14ac:dyDescent="0.4"/>
    <row r="265" ht="24.95" customHeight="1" x14ac:dyDescent="0.4"/>
    <row r="266" ht="24.95" customHeight="1" x14ac:dyDescent="0.4"/>
    <row r="267" ht="24.95" customHeight="1" x14ac:dyDescent="0.4"/>
    <row r="268" ht="24.95" customHeight="1" x14ac:dyDescent="0.4"/>
    <row r="269" ht="24.95" customHeight="1" x14ac:dyDescent="0.4"/>
    <row r="270" ht="24.95" customHeight="1" x14ac:dyDescent="0.4"/>
    <row r="271" ht="24.95" customHeight="1" x14ac:dyDescent="0.4"/>
    <row r="272" ht="24.95" customHeight="1" x14ac:dyDescent="0.4"/>
    <row r="273" ht="24.95" customHeight="1" x14ac:dyDescent="0.4"/>
    <row r="274" ht="24.95" customHeight="1" x14ac:dyDescent="0.4"/>
    <row r="275" ht="24.95" customHeight="1" x14ac:dyDescent="0.4"/>
    <row r="276" ht="24.95" customHeight="1" x14ac:dyDescent="0.4"/>
    <row r="277" ht="24.95" customHeight="1" x14ac:dyDescent="0.4"/>
    <row r="278" ht="24.95" customHeight="1" x14ac:dyDescent="0.4"/>
    <row r="279" ht="24.95" customHeight="1" x14ac:dyDescent="0.4"/>
    <row r="280" ht="24.95" customHeight="1" x14ac:dyDescent="0.4"/>
    <row r="281" ht="24.95" customHeight="1" x14ac:dyDescent="0.4"/>
    <row r="282" ht="24.95" customHeight="1" x14ac:dyDescent="0.4"/>
    <row r="283" ht="24.95" customHeight="1" x14ac:dyDescent="0.4"/>
    <row r="284" ht="24.95" customHeight="1" x14ac:dyDescent="0.4"/>
    <row r="285" ht="24.95" customHeight="1" x14ac:dyDescent="0.4"/>
    <row r="286" ht="24.95" customHeight="1" x14ac:dyDescent="0.4"/>
    <row r="287" ht="24.95" customHeight="1" x14ac:dyDescent="0.4"/>
    <row r="288" ht="24.95" customHeight="1" x14ac:dyDescent="0.4"/>
    <row r="289" ht="24.95" customHeight="1" x14ac:dyDescent="0.4"/>
    <row r="290" ht="24.95" customHeight="1" x14ac:dyDescent="0.4"/>
    <row r="291" ht="24.95" customHeight="1" x14ac:dyDescent="0.4"/>
    <row r="292" ht="24.95" customHeight="1" x14ac:dyDescent="0.4"/>
    <row r="293" ht="24.95" customHeight="1" x14ac:dyDescent="0.4"/>
    <row r="294" ht="24.95" customHeight="1" x14ac:dyDescent="0.4"/>
    <row r="295" ht="24.95" customHeight="1" x14ac:dyDescent="0.4"/>
    <row r="296" ht="24.95" customHeight="1" x14ac:dyDescent="0.4"/>
    <row r="297" ht="24.95" customHeight="1" x14ac:dyDescent="0.4"/>
    <row r="298" ht="24.95" customHeight="1" x14ac:dyDescent="0.4"/>
    <row r="299" ht="24.95" customHeight="1" x14ac:dyDescent="0.4"/>
    <row r="300" ht="24.95" customHeight="1" x14ac:dyDescent="0.4"/>
    <row r="301" ht="24.95" customHeight="1" x14ac:dyDescent="0.4"/>
    <row r="302" ht="24.95" customHeight="1" x14ac:dyDescent="0.4"/>
    <row r="303" ht="24.95" customHeight="1" x14ac:dyDescent="0.4"/>
    <row r="304" ht="24.95" customHeight="1" x14ac:dyDescent="0.4"/>
    <row r="305" ht="24.95" customHeight="1" x14ac:dyDescent="0.4"/>
    <row r="306" ht="24.95" customHeight="1" x14ac:dyDescent="0.4"/>
    <row r="307" ht="24.95" customHeight="1" x14ac:dyDescent="0.4"/>
    <row r="308" ht="24.95" customHeight="1" x14ac:dyDescent="0.4"/>
    <row r="309" ht="24.95" customHeight="1" x14ac:dyDescent="0.4"/>
    <row r="310" ht="24.95" customHeight="1" x14ac:dyDescent="0.4"/>
    <row r="311" ht="24.95" customHeight="1" x14ac:dyDescent="0.4"/>
    <row r="312" ht="24.95" customHeight="1" x14ac:dyDescent="0.4"/>
    <row r="313" ht="24.95" customHeight="1" x14ac:dyDescent="0.4"/>
    <row r="314" ht="24.95" customHeight="1" x14ac:dyDescent="0.4"/>
    <row r="315" ht="24.95" customHeight="1" x14ac:dyDescent="0.4"/>
    <row r="316" ht="24.95" customHeight="1" x14ac:dyDescent="0.4"/>
    <row r="317" ht="24.95" customHeight="1" x14ac:dyDescent="0.4"/>
    <row r="318" ht="24.95" customHeight="1" x14ac:dyDescent="0.4"/>
    <row r="319" ht="24.95" customHeight="1" x14ac:dyDescent="0.4"/>
    <row r="320" ht="24.95" customHeight="1" x14ac:dyDescent="0.4"/>
    <row r="321" ht="24.95" customHeight="1" x14ac:dyDescent="0.4"/>
    <row r="322" ht="24.95" customHeight="1" x14ac:dyDescent="0.4"/>
    <row r="323" ht="24.95" customHeight="1" x14ac:dyDescent="0.4"/>
    <row r="324" ht="24.95" customHeight="1" x14ac:dyDescent="0.4"/>
    <row r="325" ht="24.95" customHeight="1" x14ac:dyDescent="0.4"/>
    <row r="326" ht="24.95" customHeight="1" x14ac:dyDescent="0.4"/>
    <row r="327" ht="24.95" customHeight="1" x14ac:dyDescent="0.4"/>
    <row r="328" ht="24.95" customHeight="1" x14ac:dyDescent="0.4"/>
    <row r="329" ht="24.95" customHeight="1" x14ac:dyDescent="0.4"/>
    <row r="330" ht="24.95" customHeight="1" x14ac:dyDescent="0.4"/>
    <row r="331" ht="24.95" customHeight="1" x14ac:dyDescent="0.4"/>
    <row r="332" ht="24.95" customHeight="1" x14ac:dyDescent="0.4"/>
    <row r="333" ht="24.95" customHeight="1" x14ac:dyDescent="0.4"/>
    <row r="334" ht="24.95" customHeight="1" x14ac:dyDescent="0.4"/>
    <row r="335" ht="24.95" customHeight="1" x14ac:dyDescent="0.4"/>
    <row r="336" ht="24.95" customHeight="1" x14ac:dyDescent="0.4"/>
    <row r="337" ht="24.95" customHeight="1" x14ac:dyDescent="0.4"/>
    <row r="338" ht="24.95" customHeight="1" x14ac:dyDescent="0.4"/>
    <row r="339" ht="24.95" customHeight="1" x14ac:dyDescent="0.4"/>
    <row r="340" ht="24.95" customHeight="1" x14ac:dyDescent="0.4"/>
    <row r="341" ht="24.95" customHeight="1" x14ac:dyDescent="0.4"/>
    <row r="342" ht="24.95" customHeight="1" x14ac:dyDescent="0.4"/>
    <row r="343" ht="24.95" customHeight="1" x14ac:dyDescent="0.4"/>
    <row r="344" ht="24.95" customHeight="1" x14ac:dyDescent="0.4"/>
    <row r="345" ht="24.95" customHeight="1" x14ac:dyDescent="0.4"/>
    <row r="346" ht="24.95" customHeight="1" x14ac:dyDescent="0.4"/>
    <row r="347" ht="24.95" customHeight="1" x14ac:dyDescent="0.4"/>
    <row r="348" ht="24.95" customHeight="1" x14ac:dyDescent="0.4"/>
    <row r="349" ht="24.95" customHeight="1" x14ac:dyDescent="0.4"/>
    <row r="350" ht="24.95" customHeight="1" x14ac:dyDescent="0.4"/>
    <row r="351" ht="24.95" customHeight="1" x14ac:dyDescent="0.4"/>
    <row r="352" ht="24.95" customHeight="1" x14ac:dyDescent="0.4"/>
    <row r="353" ht="24.95" customHeight="1" x14ac:dyDescent="0.4"/>
    <row r="354" ht="24.95" customHeight="1" x14ac:dyDescent="0.4"/>
    <row r="355" ht="24.95" customHeight="1" x14ac:dyDescent="0.4"/>
    <row r="356" ht="24.95" customHeight="1" x14ac:dyDescent="0.4"/>
    <row r="357" ht="24.95" customHeight="1" x14ac:dyDescent="0.4"/>
  </sheetData>
  <sheetProtection algorithmName="SHA-512" hashValue="imzbrWdcwalYd58lyet5q5R5nLkw8Ml6n5vyymdYxtrPZAGumfSRhcwt6OKjmFPEZf/6TJ3i9qIxAltZjuwoKg==" saltValue="afUW8K7DVHOg1wrzUWPFVg==" spinCount="100000" sheet="1" objects="1" scenarios="1" selectLockedCells="1" selectUnlockedCells="1"/>
  <mergeCells count="7">
    <mergeCell ref="B5:F5"/>
    <mergeCell ref="H5:N5"/>
    <mergeCell ref="Q5:V5"/>
    <mergeCell ref="FI1:FI31"/>
    <mergeCell ref="CR5:CW5"/>
    <mergeCell ref="CR17:CW17"/>
    <mergeCell ref="Q17:V17"/>
  </mergeCells>
  <dataValidations count="1">
    <dataValidation type="list" allowBlank="1" showInputMessage="1" showErrorMessage="1" prompt="Selecione com um &quot;X&quot; Maiúsculo" sqref="Q8:BR11 BS27:CN30 Q20:BR26" xr:uid="{9A262615-81A7-47DE-AC94-C74E541AC5C7}">
      <formula1>"X"</formula1>
    </dataValidation>
  </dataValidations>
  <pageMargins left="0.7" right="0.7" top="0.75" bottom="0.75" header="0.3" footer="0.3"/>
  <headerFooter>
    <oddFooter>&amp;C_x000D_&amp;1#&amp;"Arial"&amp;8&amp;KA6A6A6 restricted</oddFooter>
  </headerFooter>
  <tableParts count="9">
    <tablePart r:id="rId1"/>
    <tablePart r:id="rId2"/>
    <tablePart r:id="rId3"/>
    <tablePart r:id="rId4"/>
    <tablePart r:id="rId5"/>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836A6-EFFE-4708-8BF3-7D25C2F7335A}">
  <sheetPr codeName="Sheet6"/>
  <dimension ref="C1:VS124"/>
  <sheetViews>
    <sheetView showGridLines="0" topLeftCell="BI1" zoomScale="70" zoomScaleNormal="70" workbookViewId="0">
      <selection activeCell="DQ19" sqref="DQ19"/>
    </sheetView>
  </sheetViews>
  <sheetFormatPr defaultColWidth="9.1328125" defaultRowHeight="13.15" outlineLevelCol="1" x14ac:dyDescent="0.4"/>
  <cols>
    <col min="1" max="1" width="16.3984375" style="4" customWidth="1"/>
    <col min="2" max="2" width="9.1328125" style="4"/>
    <col min="3" max="3" width="11.86328125" style="4" hidden="1" customWidth="1" outlineLevel="1"/>
    <col min="4" max="4" width="20.73046875" style="4" hidden="1" customWidth="1" outlineLevel="1"/>
    <col min="5" max="5" width="9.1328125" style="4" hidden="1" customWidth="1" outlineLevel="1"/>
    <col min="6" max="6" width="19.1328125" style="4" hidden="1" customWidth="1" outlineLevel="1"/>
    <col min="7" max="7" width="16.73046875" style="4" hidden="1" customWidth="1" outlineLevel="1"/>
    <col min="8" max="8" width="20" style="4" hidden="1" customWidth="1" outlineLevel="1"/>
    <col min="9" max="9" width="9.1328125" style="4" hidden="1" customWidth="1" outlineLevel="1"/>
    <col min="10" max="10" width="6.265625" style="4" hidden="1" customWidth="1" outlineLevel="1"/>
    <col min="11" max="11" width="10.1328125" style="4" hidden="1" customWidth="1" outlineLevel="1"/>
    <col min="12" max="12" width="16" style="4" hidden="1" customWidth="1" outlineLevel="1"/>
    <col min="13" max="13" width="14.265625" style="4" hidden="1" customWidth="1" outlineLevel="1"/>
    <col min="14" max="14" width="8.265625" style="4" hidden="1" customWidth="1" outlineLevel="1"/>
    <col min="15" max="15" width="10.73046875" style="10" customWidth="1" collapsed="1"/>
    <col min="16" max="16" width="5.73046875" style="4" customWidth="1"/>
    <col min="17" max="17" width="11.86328125" style="4" hidden="1" customWidth="1" outlineLevel="1"/>
    <col min="18" max="18" width="20.73046875" style="4" hidden="1" customWidth="1" outlineLevel="1"/>
    <col min="19" max="19" width="9.1328125" style="4" hidden="1" customWidth="1" outlineLevel="1"/>
    <col min="20" max="21" width="18.3984375" style="4" hidden="1" customWidth="1" outlineLevel="1"/>
    <col min="22" max="22" width="19.1328125" style="4" hidden="1" customWidth="1" outlineLevel="1"/>
    <col min="23" max="23" width="9.1328125" style="4" hidden="1" customWidth="1" outlineLevel="1"/>
    <col min="24" max="24" width="6.265625" style="4" hidden="1" customWidth="1" outlineLevel="1"/>
    <col min="25" max="25" width="10.1328125" style="4" hidden="1" customWidth="1" outlineLevel="1"/>
    <col min="26" max="26" width="16" style="4" hidden="1" customWidth="1" outlineLevel="1"/>
    <col min="27" max="27" width="14.265625" style="4" hidden="1" customWidth="1" outlineLevel="1"/>
    <col min="28" max="28" width="9.1328125" style="4" hidden="1" customWidth="1" outlineLevel="1"/>
    <col min="29" max="29" width="10.73046875" style="10" customWidth="1" collapsed="1"/>
    <col min="30" max="30" width="5.73046875" style="4" customWidth="1"/>
    <col min="31" max="31" width="36.9296875" style="4" customWidth="1" outlineLevel="1"/>
    <col min="32" max="32" width="20.73046875" style="4" customWidth="1" outlineLevel="1"/>
    <col min="33" max="33" width="5.73046875" style="4" customWidth="1" outlineLevel="1"/>
    <col min="34" max="34" width="10.73046875" style="36" customWidth="1"/>
    <col min="35" max="35" width="5.73046875" style="4" customWidth="1"/>
    <col min="36" max="36" width="9.1328125" style="4" customWidth="1" outlineLevel="1"/>
    <col min="37" max="37" width="23.73046875" style="4" customWidth="1" outlineLevel="1"/>
    <col min="38" max="38" width="20.73046875" style="4" customWidth="1" outlineLevel="1"/>
    <col min="39" max="39" width="21.3984375" style="4" customWidth="1" outlineLevel="1"/>
    <col min="40" max="40" width="29.796875" style="4" customWidth="1" outlineLevel="1"/>
    <col min="41" max="41" width="20.3984375" style="4" customWidth="1" outlineLevel="1"/>
    <col min="42" max="42" width="23" style="4" customWidth="1" outlineLevel="1"/>
    <col min="43" max="43" width="21.1328125" style="4" customWidth="1" outlineLevel="1"/>
    <col min="44" max="44" width="22.3984375" style="4" customWidth="1" outlineLevel="1"/>
    <col min="45" max="45" width="23.59765625" style="4" customWidth="1" outlineLevel="1"/>
    <col min="46" max="46" width="24.86328125" style="4" customWidth="1" outlineLevel="1"/>
    <col min="47" max="47" width="22.59765625" style="4" customWidth="1" outlineLevel="1"/>
    <col min="48" max="48" width="22" style="4" customWidth="1" outlineLevel="1"/>
    <col min="49" max="49" width="22.46484375" style="4" customWidth="1" outlineLevel="1"/>
    <col min="50" max="50" width="26.73046875" style="4" customWidth="1" outlineLevel="1"/>
    <col min="51" max="51" width="22.73046875" style="4" customWidth="1" outlineLevel="1"/>
    <col min="52" max="52" width="26.46484375" style="4" customWidth="1" outlineLevel="1"/>
    <col min="53" max="53" width="22" style="4" customWidth="1" outlineLevel="1"/>
    <col min="54" max="54" width="23.73046875" style="4" customWidth="1" outlineLevel="1"/>
    <col min="55" max="57" width="22" style="4" customWidth="1" outlineLevel="1"/>
    <col min="58" max="62" width="10.73046875" style="4" customWidth="1" outlineLevel="1"/>
    <col min="63" max="63" width="10.73046875" style="36" customWidth="1"/>
    <col min="64" max="64" width="5.73046875" style="4" customWidth="1"/>
    <col min="65" max="65" width="19.73046875" style="4" hidden="1" customWidth="1" outlineLevel="1"/>
    <col min="66" max="66" width="9.1328125" style="4" hidden="1" customWidth="1" outlineLevel="1"/>
    <col min="67" max="67" width="22.59765625" style="4" hidden="1" customWidth="1" outlineLevel="1"/>
    <col min="68" max="68" width="31.3984375" style="4" hidden="1" customWidth="1" outlineLevel="1"/>
    <col min="69" max="69" width="8.73046875" style="4" hidden="1" customWidth="1" outlineLevel="1"/>
    <col min="70" max="70" width="5.59765625" style="4" hidden="1" customWidth="1" outlineLevel="1"/>
    <col min="71" max="71" width="10.73046875" style="10" customWidth="1" collapsed="1"/>
    <col min="72" max="72" width="5.73046875" style="4" customWidth="1"/>
    <col min="73" max="73" width="19.73046875" style="4" hidden="1" customWidth="1" outlineLevel="1"/>
    <col min="74" max="74" width="9.1328125" style="4" hidden="1" customWidth="1" outlineLevel="1"/>
    <col min="75" max="75" width="22.59765625" style="4" hidden="1" customWidth="1" outlineLevel="1"/>
    <col min="76" max="76" width="31.3984375" style="4" hidden="1" customWidth="1" outlineLevel="1"/>
    <col min="77" max="77" width="8.73046875" style="4" hidden="1" customWidth="1" outlineLevel="1"/>
    <col min="78" max="78" width="5.59765625" style="4" hidden="1" customWidth="1" outlineLevel="1"/>
    <col min="79" max="79" width="10.73046875" style="10" customWidth="1" collapsed="1"/>
    <col min="80" max="80" width="5.73046875" style="4" customWidth="1"/>
    <col min="81" max="81" width="19.73046875" style="4" hidden="1" customWidth="1" outlineLevel="1"/>
    <col min="82" max="82" width="9.1328125" style="4" hidden="1" customWidth="1" outlineLevel="1"/>
    <col min="83" max="83" width="22.59765625" style="4" hidden="1" customWidth="1" outlineLevel="1"/>
    <col min="84" max="84" width="31.3984375" style="4" hidden="1" customWidth="1" outlineLevel="1"/>
    <col min="85" max="85" width="8.73046875" style="4" hidden="1" customWidth="1" outlineLevel="1"/>
    <col min="86" max="86" width="5.59765625" style="4" hidden="1" customWidth="1" outlineLevel="1"/>
    <col min="87" max="87" width="10.73046875" style="10" customWidth="1" collapsed="1"/>
    <col min="88" max="88" width="5.59765625" style="4" customWidth="1"/>
    <col min="89" max="89" width="19.73046875" style="4" hidden="1" customWidth="1" outlineLevel="1"/>
    <col min="90" max="90" width="9.1328125" style="4" hidden="1" customWidth="1" outlineLevel="1"/>
    <col min="91" max="91" width="22.59765625" style="4" hidden="1" customWidth="1" outlineLevel="1"/>
    <col min="92" max="92" width="31.3984375" style="4" hidden="1" customWidth="1" outlineLevel="1"/>
    <col min="93" max="93" width="8.73046875" style="4" hidden="1" customWidth="1" outlineLevel="1"/>
    <col min="94" max="94" width="5.59765625" style="4" hidden="1" customWidth="1" outlineLevel="1"/>
    <col min="95" max="95" width="10.73046875" style="10" customWidth="1" collapsed="1"/>
    <col min="96" max="96" width="5.73046875" style="4" customWidth="1"/>
    <col min="97" max="97" width="19.73046875" style="4" hidden="1" customWidth="1" outlineLevel="1"/>
    <col min="98" max="98" width="9.1328125" style="4" hidden="1" customWidth="1" outlineLevel="1"/>
    <col min="99" max="99" width="22.59765625" style="4" hidden="1" customWidth="1" outlineLevel="1"/>
    <col min="100" max="100" width="31.3984375" style="4" hidden="1" customWidth="1" outlineLevel="1"/>
    <col min="101" max="101" width="8.73046875" style="4" hidden="1" customWidth="1" outlineLevel="1"/>
    <col min="102" max="102" width="5.59765625" style="4" hidden="1" customWidth="1" outlineLevel="1"/>
    <col min="103" max="103" width="10.73046875" style="10" customWidth="1" collapsed="1"/>
    <col min="104" max="104" width="5.73046875" style="4" customWidth="1"/>
    <col min="105" max="105" width="19.73046875" style="4" hidden="1" customWidth="1" outlineLevel="1"/>
    <col min="106" max="106" width="9.1328125" style="4" hidden="1" customWidth="1" outlineLevel="1"/>
    <col min="107" max="107" width="22.59765625" style="4" hidden="1" customWidth="1" outlineLevel="1"/>
    <col min="108" max="108" width="31.3984375" style="4" hidden="1" customWidth="1" outlineLevel="1"/>
    <col min="109" max="109" width="8.73046875" style="4" hidden="1" customWidth="1" outlineLevel="1"/>
    <col min="110" max="110" width="5.59765625" style="4" hidden="1" customWidth="1" outlineLevel="1"/>
    <col min="111" max="111" width="10.73046875" style="10" customWidth="1" collapsed="1"/>
    <col min="112" max="112" width="5.73046875" style="4" customWidth="1"/>
    <col min="113" max="113" width="19.73046875" style="4" hidden="1" customWidth="1" outlineLevel="1"/>
    <col min="114" max="114" width="9.1328125" style="4" hidden="1" customWidth="1" outlineLevel="1"/>
    <col min="115" max="115" width="22.59765625" style="4" hidden="1" customWidth="1" outlineLevel="1"/>
    <col min="116" max="116" width="31.3984375" style="4" hidden="1" customWidth="1" outlineLevel="1"/>
    <col min="117" max="117" width="8.73046875" style="4" hidden="1" customWidth="1" outlineLevel="1"/>
    <col min="118" max="118" width="5.59765625" style="4" hidden="1" customWidth="1" outlineLevel="1"/>
    <col min="119" max="119" width="10.73046875" style="10" customWidth="1" collapsed="1"/>
    <col min="120" max="120" width="5.73046875" style="4" customWidth="1"/>
    <col min="121" max="121" width="19.73046875" style="4" customWidth="1" outlineLevel="1"/>
    <col min="122" max="122" width="9.1328125" style="4" customWidth="1" outlineLevel="1"/>
    <col min="123" max="123" width="22.59765625" style="4" customWidth="1" outlineLevel="1"/>
    <col min="124" max="124" width="31.3984375" style="4" customWidth="1" outlineLevel="1"/>
    <col min="125" max="125" width="8.73046875" style="4" customWidth="1" outlineLevel="1"/>
    <col min="126" max="126" width="5.59765625" style="4" customWidth="1" outlineLevel="1"/>
    <col min="127" max="127" width="10.73046875" style="170" customWidth="1"/>
    <col min="128" max="128" width="5.73046875" style="4" customWidth="1"/>
    <col min="129" max="129" width="19.73046875" style="4" hidden="1" customWidth="1" outlineLevel="1"/>
    <col min="130" max="130" width="9.1328125" style="4" hidden="1" customWidth="1" outlineLevel="1"/>
    <col min="131" max="131" width="22.59765625" style="4" hidden="1" customWidth="1" outlineLevel="1"/>
    <col min="132" max="132" width="31.3984375" style="4" hidden="1" customWidth="1" outlineLevel="1"/>
    <col min="133" max="133" width="8.73046875" style="4" hidden="1" customWidth="1" outlineLevel="1"/>
    <col min="134" max="134" width="5.59765625" style="4" hidden="1" customWidth="1" outlineLevel="1"/>
    <col min="135" max="135" width="10.73046875" style="10" customWidth="1" collapsed="1"/>
    <col min="136" max="136" width="5.73046875" style="4" customWidth="1"/>
    <col min="137" max="137" width="19.73046875" style="4" hidden="1" customWidth="1" outlineLevel="1"/>
    <col min="138" max="138" width="9.1328125" style="4" hidden="1" customWidth="1" outlineLevel="1"/>
    <col min="139" max="139" width="22.59765625" style="4" hidden="1" customWidth="1" outlineLevel="1"/>
    <col min="140" max="140" width="31.3984375" style="4" hidden="1" customWidth="1" outlineLevel="1"/>
    <col min="141" max="141" width="8.73046875" style="4" hidden="1" customWidth="1" outlineLevel="1"/>
    <col min="142" max="142" width="5.59765625" style="4" hidden="1" customWidth="1" outlineLevel="1"/>
    <col min="143" max="143" width="10.73046875" style="10" customWidth="1" collapsed="1"/>
    <col min="144" max="144" width="5.73046875" style="4" customWidth="1"/>
    <col min="145" max="145" width="19.73046875" style="4" hidden="1" customWidth="1" outlineLevel="1"/>
    <col min="146" max="146" width="9.1328125" style="4" hidden="1" customWidth="1" outlineLevel="1"/>
    <col min="147" max="147" width="22.59765625" style="4" hidden="1" customWidth="1" outlineLevel="1"/>
    <col min="148" max="148" width="31.3984375" style="4" hidden="1" customWidth="1" outlineLevel="1"/>
    <col min="149" max="149" width="8.73046875" style="4" hidden="1" customWidth="1" outlineLevel="1"/>
    <col min="150" max="150" width="5.59765625" style="4" hidden="1" customWidth="1" outlineLevel="1"/>
    <col min="151" max="151" width="10.73046875" style="10" customWidth="1" collapsed="1"/>
    <col min="152" max="152" width="5.73046875" style="4" customWidth="1"/>
    <col min="153" max="153" width="19.73046875" style="4" hidden="1" customWidth="1" outlineLevel="1"/>
    <col min="154" max="154" width="9.1328125" style="4" hidden="1" customWidth="1" outlineLevel="1"/>
    <col min="155" max="155" width="22.59765625" style="4" hidden="1" customWidth="1" outlineLevel="1"/>
    <col min="156" max="156" width="31.3984375" style="4" hidden="1" customWidth="1" outlineLevel="1"/>
    <col min="157" max="157" width="8.73046875" style="4" hidden="1" customWidth="1" outlineLevel="1"/>
    <col min="158" max="158" width="5.59765625" style="4" hidden="1" customWidth="1" outlineLevel="1"/>
    <col min="159" max="159" width="10.73046875" style="170" customWidth="1" collapsed="1"/>
    <col min="160" max="160" width="5.73046875" style="4" customWidth="1"/>
    <col min="161" max="161" width="19.73046875" style="4" hidden="1" customWidth="1" outlineLevel="1"/>
    <col min="162" max="162" width="9.1328125" style="4" hidden="1" customWidth="1" outlineLevel="1"/>
    <col min="163" max="163" width="22.59765625" style="4" hidden="1" customWidth="1" outlineLevel="1"/>
    <col min="164" max="164" width="31.3984375" style="4" hidden="1" customWidth="1" outlineLevel="1"/>
    <col min="165" max="165" width="8.73046875" style="4" hidden="1" customWidth="1" outlineLevel="1"/>
    <col min="166" max="166" width="5.59765625" style="4" hidden="1" customWidth="1" outlineLevel="1"/>
    <col min="167" max="167" width="10.73046875" style="10" customWidth="1" collapsed="1"/>
    <col min="168" max="168" width="5.73046875" style="4" customWidth="1"/>
    <col min="169" max="169" width="19.73046875" style="4" hidden="1" customWidth="1" outlineLevel="1"/>
    <col min="170" max="170" width="9.1328125" style="4" hidden="1" customWidth="1" outlineLevel="1"/>
    <col min="171" max="171" width="22.59765625" style="4" hidden="1" customWidth="1" outlineLevel="1"/>
    <col min="172" max="172" width="31.3984375" style="4" hidden="1" customWidth="1" outlineLevel="1"/>
    <col min="173" max="173" width="8.73046875" style="4" hidden="1" customWidth="1" outlineLevel="1"/>
    <col min="174" max="174" width="5.59765625" style="4" hidden="1" customWidth="1" outlineLevel="1"/>
    <col min="175" max="175" width="10.73046875" style="10" customWidth="1" collapsed="1"/>
    <col min="176" max="176" width="5.73046875" style="4" customWidth="1"/>
    <col min="177" max="177" width="19.73046875" style="4" hidden="1" customWidth="1" outlineLevel="1"/>
    <col min="178" max="178" width="9.1328125" style="4" hidden="1" customWidth="1" outlineLevel="1"/>
    <col min="179" max="179" width="22.59765625" style="4" hidden="1" customWidth="1" outlineLevel="1"/>
    <col min="180" max="180" width="31.3984375" style="4" hidden="1" customWidth="1" outlineLevel="1"/>
    <col min="181" max="181" width="8.73046875" style="4" hidden="1" customWidth="1" outlineLevel="1"/>
    <col min="182" max="182" width="5.59765625" style="4" hidden="1" customWidth="1" outlineLevel="1"/>
    <col min="183" max="183" width="10.73046875" style="10" customWidth="1" collapsed="1"/>
    <col min="184" max="184" width="5.73046875" style="4" customWidth="1"/>
    <col min="185" max="185" width="19.73046875" style="4" hidden="1" customWidth="1" outlineLevel="1"/>
    <col min="186" max="186" width="9.1328125" style="4" hidden="1" customWidth="1" outlineLevel="1"/>
    <col min="187" max="187" width="22.59765625" style="4" hidden="1" customWidth="1" outlineLevel="1"/>
    <col min="188" max="188" width="31.3984375" style="4" hidden="1" customWidth="1" outlineLevel="1"/>
    <col min="189" max="189" width="8.73046875" style="4" hidden="1" customWidth="1" outlineLevel="1"/>
    <col min="190" max="190" width="5.59765625" style="4" hidden="1" customWidth="1" outlineLevel="1"/>
    <col min="191" max="191" width="10.73046875" style="10" customWidth="1" collapsed="1"/>
    <col min="192" max="192" width="5.73046875" style="4" customWidth="1"/>
    <col min="193" max="193" width="19.73046875" style="4" hidden="1" customWidth="1" outlineLevel="1"/>
    <col min="194" max="194" width="9.1328125" style="4" hidden="1" customWidth="1" outlineLevel="1"/>
    <col min="195" max="195" width="22.59765625" style="4" hidden="1" customWidth="1" outlineLevel="1"/>
    <col min="196" max="196" width="31.3984375" style="4" hidden="1" customWidth="1" outlineLevel="1"/>
    <col min="197" max="197" width="8.73046875" style="4" hidden="1" customWidth="1" outlineLevel="1"/>
    <col min="198" max="198" width="5.59765625" style="4" hidden="1" customWidth="1" outlineLevel="1"/>
    <col min="199" max="199" width="10.73046875" style="10" customWidth="1" collapsed="1"/>
    <col min="200" max="200" width="5.73046875" style="4" customWidth="1"/>
    <col min="201" max="201" width="19.73046875" style="4" hidden="1" customWidth="1" outlineLevel="1"/>
    <col min="202" max="202" width="9.1328125" style="4" hidden="1" customWidth="1" outlineLevel="1"/>
    <col min="203" max="203" width="22.59765625" style="4" hidden="1" customWidth="1" outlineLevel="1"/>
    <col min="204" max="204" width="31.3984375" style="4" hidden="1" customWidth="1" outlineLevel="1"/>
    <col min="205" max="205" width="8.73046875" style="4" hidden="1" customWidth="1" outlineLevel="1"/>
    <col min="206" max="206" width="5.59765625" style="4" hidden="1" customWidth="1" outlineLevel="1"/>
    <col min="207" max="207" width="10.73046875" style="10" customWidth="1" collapsed="1"/>
    <col min="208" max="208" width="5.73046875" style="4" customWidth="1"/>
    <col min="209" max="209" width="19.73046875" style="4" hidden="1" customWidth="1" outlineLevel="1"/>
    <col min="210" max="210" width="9.1328125" style="4" hidden="1" customWidth="1" outlineLevel="1"/>
    <col min="211" max="211" width="22.59765625" style="4" hidden="1" customWidth="1" outlineLevel="1"/>
    <col min="212" max="212" width="31.3984375" style="4" hidden="1" customWidth="1" outlineLevel="1"/>
    <col min="213" max="213" width="8.73046875" style="4" hidden="1" customWidth="1" outlineLevel="1"/>
    <col min="214" max="214" width="5.59765625" style="4" hidden="1" customWidth="1" outlineLevel="1"/>
    <col min="215" max="215" width="10.73046875" style="10" customWidth="1" collapsed="1"/>
    <col min="216" max="216" width="5.73046875" style="4" customWidth="1"/>
    <col min="217" max="217" width="19.73046875" style="4" hidden="1" customWidth="1" outlineLevel="1"/>
    <col min="218" max="218" width="9.1328125" style="4" hidden="1" customWidth="1" outlineLevel="1"/>
    <col min="219" max="219" width="22.59765625" style="4" hidden="1" customWidth="1" outlineLevel="1"/>
    <col min="220" max="220" width="31.3984375" style="4" hidden="1" customWidth="1" outlineLevel="1"/>
    <col min="221" max="221" width="8.73046875" style="4" hidden="1" customWidth="1" outlineLevel="1"/>
    <col min="222" max="222" width="5.59765625" style="4" hidden="1" customWidth="1" outlineLevel="1"/>
    <col min="223" max="223" width="10.73046875" style="10" customWidth="1" collapsed="1"/>
    <col min="224" max="224" width="5.73046875" style="4" customWidth="1"/>
    <col min="225" max="225" width="19.73046875" style="4" hidden="1" customWidth="1" outlineLevel="1"/>
    <col min="226" max="226" width="9.1328125" style="4" hidden="1" customWidth="1" outlineLevel="1"/>
    <col min="227" max="227" width="22.59765625" style="4" hidden="1" customWidth="1" outlineLevel="1"/>
    <col min="228" max="228" width="31.3984375" style="4" hidden="1" customWidth="1" outlineLevel="1"/>
    <col min="229" max="229" width="8.73046875" style="4" hidden="1" customWidth="1" outlineLevel="1"/>
    <col min="230" max="230" width="5.59765625" style="4" hidden="1" customWidth="1" outlineLevel="1"/>
    <col min="231" max="231" width="10.73046875" style="10" customWidth="1" collapsed="1"/>
    <col min="232" max="232" width="5.73046875" style="4" customWidth="1"/>
    <col min="233" max="233" width="19.73046875" style="4" hidden="1" customWidth="1" outlineLevel="1"/>
    <col min="234" max="234" width="9.1328125" style="4" hidden="1" customWidth="1" outlineLevel="1"/>
    <col min="235" max="235" width="22.59765625" style="4" hidden="1" customWidth="1" outlineLevel="1"/>
    <col min="236" max="236" width="31.3984375" style="4" hidden="1" customWidth="1" outlineLevel="1"/>
    <col min="237" max="237" width="8.73046875" style="4" hidden="1" customWidth="1" outlineLevel="1"/>
    <col min="238" max="238" width="5.59765625" style="4" hidden="1" customWidth="1" outlineLevel="1"/>
    <col min="239" max="239" width="10.73046875" style="10" customWidth="1" collapsed="1"/>
    <col min="240" max="240" width="5.73046875" style="4" customWidth="1"/>
    <col min="241" max="241" width="19.73046875" style="4" hidden="1" customWidth="1" outlineLevel="1"/>
    <col min="242" max="242" width="9.1328125" style="4" hidden="1" customWidth="1" outlineLevel="1"/>
    <col min="243" max="243" width="22.59765625" style="4" hidden="1" customWidth="1" outlineLevel="1"/>
    <col min="244" max="244" width="31.3984375" style="4" hidden="1" customWidth="1" outlineLevel="1"/>
    <col min="245" max="245" width="8.73046875" style="4" hidden="1" customWidth="1" outlineLevel="1"/>
    <col min="246" max="246" width="5.59765625" style="4" hidden="1" customWidth="1" outlineLevel="1"/>
    <col min="247" max="247" width="10.73046875" style="10" customWidth="1" collapsed="1"/>
    <col min="248" max="248" width="5.73046875" style="4" customWidth="1"/>
    <col min="249" max="249" width="19.73046875" style="4" hidden="1" customWidth="1" outlineLevel="1"/>
    <col min="250" max="250" width="9.1328125" style="4" hidden="1" customWidth="1" outlineLevel="1"/>
    <col min="251" max="251" width="22.59765625" style="4" hidden="1" customWidth="1" outlineLevel="1"/>
    <col min="252" max="252" width="31.3984375" style="4" hidden="1" customWidth="1" outlineLevel="1"/>
    <col min="253" max="253" width="8.73046875" style="4" hidden="1" customWidth="1" outlineLevel="1"/>
    <col min="254" max="254" width="5.59765625" style="4" hidden="1" customWidth="1" outlineLevel="1"/>
    <col min="255" max="255" width="10.73046875" style="10" customWidth="1" collapsed="1"/>
    <col min="256" max="256" width="5.73046875" style="4" customWidth="1"/>
    <col min="257" max="257" width="19.73046875" style="4" hidden="1" customWidth="1" outlineLevel="1"/>
    <col min="258" max="258" width="9.1328125" style="4" hidden="1" customWidth="1" outlineLevel="1"/>
    <col min="259" max="259" width="22.59765625" style="4" hidden="1" customWidth="1" outlineLevel="1"/>
    <col min="260" max="260" width="31.3984375" style="4" hidden="1" customWidth="1" outlineLevel="1"/>
    <col min="261" max="261" width="8.73046875" style="4" hidden="1" customWidth="1" outlineLevel="1"/>
    <col min="262" max="262" width="5.59765625" style="4" hidden="1" customWidth="1" outlineLevel="1"/>
    <col min="263" max="263" width="10.73046875" style="10" customWidth="1" collapsed="1"/>
    <col min="264" max="264" width="5.73046875" style="4" customWidth="1"/>
    <col min="265" max="265" width="19.73046875" style="4" hidden="1" customWidth="1" outlineLevel="1"/>
    <col min="266" max="266" width="9.1328125" style="4" hidden="1" customWidth="1" outlineLevel="1"/>
    <col min="267" max="267" width="22.59765625" style="4" hidden="1" customWidth="1" outlineLevel="1"/>
    <col min="268" max="268" width="31.3984375" style="4" hidden="1" customWidth="1" outlineLevel="1"/>
    <col min="269" max="269" width="8.73046875" style="4" hidden="1" customWidth="1" outlineLevel="1"/>
    <col min="270" max="270" width="5.59765625" style="4" hidden="1" customWidth="1" outlineLevel="1"/>
    <col min="271" max="271" width="10.73046875" style="10" customWidth="1" collapsed="1"/>
    <col min="272" max="272" width="5.73046875" style="4" customWidth="1"/>
    <col min="273" max="273" width="19.73046875" style="4" hidden="1" customWidth="1" outlineLevel="1"/>
    <col min="274" max="274" width="9.1328125" style="4" hidden="1" customWidth="1" outlineLevel="1"/>
    <col min="275" max="275" width="22.59765625" style="4" hidden="1" customWidth="1" outlineLevel="1"/>
    <col min="276" max="276" width="31.3984375" style="4" hidden="1" customWidth="1" outlineLevel="1"/>
    <col min="277" max="277" width="8.73046875" style="4" hidden="1" customWidth="1" outlineLevel="1"/>
    <col min="278" max="278" width="5.59765625" style="4" hidden="1" customWidth="1" outlineLevel="1"/>
    <col min="279" max="279" width="10.73046875" style="10" customWidth="1" collapsed="1"/>
    <col min="280" max="280" width="5.73046875" style="4" customWidth="1"/>
    <col min="281" max="281" width="19.73046875" style="4" hidden="1" customWidth="1" outlineLevel="1"/>
    <col min="282" max="282" width="9.1328125" style="4" hidden="1" customWidth="1" outlineLevel="1"/>
    <col min="283" max="283" width="22.59765625" style="4" hidden="1" customWidth="1" outlineLevel="1"/>
    <col min="284" max="284" width="31.3984375" style="4" hidden="1" customWidth="1" outlineLevel="1"/>
    <col min="285" max="285" width="8.73046875" style="4" hidden="1" customWidth="1" outlineLevel="1"/>
    <col min="286" max="286" width="5.59765625" style="4" hidden="1" customWidth="1" outlineLevel="1"/>
    <col min="287" max="287" width="10.73046875" style="10" customWidth="1" collapsed="1"/>
    <col min="288" max="288" width="5.73046875" style="4" customWidth="1"/>
    <col min="289" max="289" width="19.73046875" style="4" hidden="1" customWidth="1" outlineLevel="1"/>
    <col min="290" max="290" width="9.1328125" style="4" hidden="1" customWidth="1" outlineLevel="1"/>
    <col min="291" max="291" width="22.59765625" style="4" hidden="1" customWidth="1" outlineLevel="1"/>
    <col min="292" max="292" width="31.3984375" style="4" hidden="1" customWidth="1" outlineLevel="1"/>
    <col min="293" max="293" width="8.73046875" style="4" hidden="1" customWidth="1" outlineLevel="1"/>
    <col min="294" max="294" width="5.59765625" style="4" hidden="1" customWidth="1" outlineLevel="1"/>
    <col min="295" max="295" width="10.73046875" style="10" customWidth="1" collapsed="1"/>
    <col min="296" max="296" width="5.73046875" style="4" customWidth="1"/>
    <col min="297" max="297" width="19.73046875" style="4" hidden="1" customWidth="1" outlineLevel="1"/>
    <col min="298" max="298" width="9.1328125" style="4" hidden="1" customWidth="1" outlineLevel="1"/>
    <col min="299" max="299" width="22.59765625" style="4" hidden="1" customWidth="1" outlineLevel="1"/>
    <col min="300" max="300" width="31.3984375" style="4" hidden="1" customWidth="1" outlineLevel="1"/>
    <col min="301" max="301" width="8.73046875" style="4" hidden="1" customWidth="1" outlineLevel="1"/>
    <col min="302" max="302" width="5.59765625" style="4" hidden="1" customWidth="1" outlineLevel="1"/>
    <col min="303" max="303" width="10.73046875" style="10" customWidth="1" collapsed="1"/>
    <col min="304" max="304" width="5.73046875" style="4" customWidth="1"/>
    <col min="305" max="305" width="19.73046875" style="4" hidden="1" customWidth="1" outlineLevel="1"/>
    <col min="306" max="306" width="9.1328125" style="4" hidden="1" customWidth="1" outlineLevel="1"/>
    <col min="307" max="307" width="22.59765625" style="4" hidden="1" customWidth="1" outlineLevel="1"/>
    <col min="308" max="308" width="31.3984375" style="4" hidden="1" customWidth="1" outlineLevel="1"/>
    <col min="309" max="309" width="8.73046875" style="4" hidden="1" customWidth="1" outlineLevel="1"/>
    <col min="310" max="310" width="5.59765625" style="4" hidden="1" customWidth="1" outlineLevel="1"/>
    <col min="311" max="311" width="10.73046875" style="10" customWidth="1" collapsed="1"/>
    <col min="312" max="312" width="5.73046875" style="4" customWidth="1"/>
    <col min="313" max="313" width="19.73046875" style="4" hidden="1" customWidth="1" outlineLevel="1"/>
    <col min="314" max="314" width="9.1328125" style="4" hidden="1" customWidth="1" outlineLevel="1"/>
    <col min="315" max="315" width="22.59765625" style="4" hidden="1" customWidth="1" outlineLevel="1"/>
    <col min="316" max="316" width="31.3984375" style="4" hidden="1" customWidth="1" outlineLevel="1"/>
    <col min="317" max="317" width="8.73046875" style="4" hidden="1" customWidth="1" outlineLevel="1"/>
    <col min="318" max="318" width="5.59765625" style="4" hidden="1" customWidth="1" outlineLevel="1"/>
    <col min="319" max="319" width="10.73046875" style="10" customWidth="1" collapsed="1"/>
    <col min="320" max="320" width="5.73046875" style="4" customWidth="1"/>
    <col min="321" max="321" width="19.73046875" style="4" hidden="1" customWidth="1" outlineLevel="1"/>
    <col min="322" max="322" width="9.1328125" style="4" hidden="1" customWidth="1" outlineLevel="1"/>
    <col min="323" max="323" width="22.59765625" style="4" hidden="1" customWidth="1" outlineLevel="1"/>
    <col min="324" max="324" width="31.3984375" style="4" hidden="1" customWidth="1" outlineLevel="1"/>
    <col min="325" max="325" width="8.73046875" style="4" hidden="1" customWidth="1" outlineLevel="1"/>
    <col min="326" max="326" width="5.59765625" style="4" hidden="1" customWidth="1" outlineLevel="1"/>
    <col min="327" max="327" width="10.73046875" style="10" customWidth="1" collapsed="1"/>
    <col min="328" max="328" width="5.73046875" style="4" customWidth="1"/>
    <col min="329" max="329" width="19.73046875" style="4" hidden="1" customWidth="1" outlineLevel="1"/>
    <col min="330" max="330" width="9.1328125" style="4" hidden="1" customWidth="1" outlineLevel="1"/>
    <col min="331" max="331" width="22.59765625" style="4" hidden="1" customWidth="1" outlineLevel="1"/>
    <col min="332" max="332" width="31.3984375" style="4" hidden="1" customWidth="1" outlineLevel="1"/>
    <col min="333" max="333" width="8.73046875" style="4" hidden="1" customWidth="1" outlineLevel="1"/>
    <col min="334" max="334" width="5.59765625" style="4" hidden="1" customWidth="1" outlineLevel="1"/>
    <col min="335" max="335" width="10.73046875" style="10" customWidth="1" collapsed="1"/>
    <col min="336" max="336" width="5.73046875" style="4" customWidth="1"/>
    <col min="337" max="337" width="19.73046875" style="4" hidden="1" customWidth="1" outlineLevel="1"/>
    <col min="338" max="338" width="9.1328125" style="4" hidden="1" customWidth="1" outlineLevel="1"/>
    <col min="339" max="339" width="22.59765625" style="4" hidden="1" customWidth="1" outlineLevel="1"/>
    <col min="340" max="340" width="31.3984375" style="4" hidden="1" customWidth="1" outlineLevel="1"/>
    <col min="341" max="341" width="8.73046875" style="4" hidden="1" customWidth="1" outlineLevel="1"/>
    <col min="342" max="342" width="5.59765625" style="4" hidden="1" customWidth="1" outlineLevel="1"/>
    <col min="343" max="343" width="10.73046875" style="10" customWidth="1" collapsed="1"/>
    <col min="344" max="344" width="5.73046875" style="4" customWidth="1"/>
    <col min="345" max="345" width="19.73046875" style="4" hidden="1" customWidth="1" outlineLevel="1"/>
    <col min="346" max="346" width="9.1328125" style="4" hidden="1" customWidth="1" outlineLevel="1"/>
    <col min="347" max="347" width="22.59765625" style="4" hidden="1" customWidth="1" outlineLevel="1"/>
    <col min="348" max="348" width="31.3984375" style="4" hidden="1" customWidth="1" outlineLevel="1"/>
    <col min="349" max="349" width="8.73046875" style="4" hidden="1" customWidth="1" outlineLevel="1"/>
    <col min="350" max="350" width="5.59765625" style="4" hidden="1" customWidth="1" outlineLevel="1"/>
    <col min="351" max="351" width="10.73046875" style="10" customWidth="1" collapsed="1"/>
    <col min="352" max="352" width="5.73046875" style="4" customWidth="1"/>
    <col min="353" max="353" width="19.73046875" style="4" hidden="1" customWidth="1" outlineLevel="1"/>
    <col min="354" max="354" width="9.1328125" style="4" hidden="1" customWidth="1" outlineLevel="1"/>
    <col min="355" max="355" width="22.59765625" style="4" hidden="1" customWidth="1" outlineLevel="1"/>
    <col min="356" max="356" width="31.3984375" style="4" hidden="1" customWidth="1" outlineLevel="1"/>
    <col min="357" max="357" width="8.73046875" style="4" hidden="1" customWidth="1" outlineLevel="1"/>
    <col min="358" max="358" width="5.59765625" style="4" hidden="1" customWidth="1" outlineLevel="1"/>
    <col min="359" max="359" width="10.73046875" style="10" customWidth="1" collapsed="1"/>
    <col min="360" max="360" width="5.73046875" style="4" customWidth="1"/>
    <col min="361" max="361" width="19.73046875" style="4" hidden="1" customWidth="1" outlineLevel="1"/>
    <col min="362" max="362" width="9.1328125" style="4" hidden="1" customWidth="1" outlineLevel="1"/>
    <col min="363" max="363" width="22.59765625" style="4" hidden="1" customWidth="1" outlineLevel="1"/>
    <col min="364" max="364" width="31.3984375" style="4" hidden="1" customWidth="1" outlineLevel="1"/>
    <col min="365" max="365" width="8.73046875" style="4" hidden="1" customWidth="1" outlineLevel="1"/>
    <col min="366" max="366" width="5.59765625" style="4" hidden="1" customWidth="1" outlineLevel="1"/>
    <col min="367" max="367" width="10.73046875" style="10" customWidth="1" collapsed="1"/>
    <col min="368" max="368" width="5.73046875" style="4" customWidth="1"/>
    <col min="369" max="369" width="19.73046875" style="4" hidden="1" customWidth="1" outlineLevel="1"/>
    <col min="370" max="370" width="9.1328125" style="4" hidden="1" customWidth="1" outlineLevel="1"/>
    <col min="371" max="371" width="22.59765625" style="4" hidden="1" customWidth="1" outlineLevel="1"/>
    <col min="372" max="372" width="31.3984375" style="4" hidden="1" customWidth="1" outlineLevel="1"/>
    <col min="373" max="373" width="8.73046875" style="4" hidden="1" customWidth="1" outlineLevel="1"/>
    <col min="374" max="374" width="5.59765625" style="4" hidden="1" customWidth="1" outlineLevel="1"/>
    <col min="375" max="375" width="10.73046875" style="10" customWidth="1" collapsed="1"/>
    <col min="376" max="376" width="5.73046875" style="4" customWidth="1"/>
    <col min="377" max="377" width="19.73046875" style="4" hidden="1" customWidth="1" outlineLevel="1"/>
    <col min="378" max="378" width="9.1328125" style="4" hidden="1" customWidth="1" outlineLevel="1"/>
    <col min="379" max="379" width="22.59765625" style="4" hidden="1" customWidth="1" outlineLevel="1"/>
    <col min="380" max="380" width="31.3984375" style="4" hidden="1" customWidth="1" outlineLevel="1"/>
    <col min="381" max="381" width="8.73046875" style="4" hidden="1" customWidth="1" outlineLevel="1"/>
    <col min="382" max="382" width="5.59765625" style="4" hidden="1" customWidth="1" outlineLevel="1"/>
    <col min="383" max="383" width="10.73046875" style="10" customWidth="1" collapsed="1"/>
    <col min="384" max="384" width="5.73046875" style="4" customWidth="1"/>
    <col min="385" max="385" width="19.73046875" style="4" hidden="1" customWidth="1" outlineLevel="1"/>
    <col min="386" max="386" width="9.1328125" style="4" hidden="1" customWidth="1" outlineLevel="1"/>
    <col min="387" max="387" width="22.59765625" style="4" hidden="1" customWidth="1" outlineLevel="1"/>
    <col min="388" max="388" width="31.3984375" style="4" hidden="1" customWidth="1" outlineLevel="1"/>
    <col min="389" max="389" width="8.73046875" style="4" hidden="1" customWidth="1" outlineLevel="1"/>
    <col min="390" max="390" width="5.59765625" style="4" hidden="1" customWidth="1" outlineLevel="1"/>
    <col min="391" max="391" width="10.73046875" style="10" customWidth="1" collapsed="1"/>
    <col min="392" max="392" width="5.73046875" style="4" customWidth="1"/>
    <col min="393" max="393" width="19.73046875" style="4" hidden="1" customWidth="1" outlineLevel="1"/>
    <col min="394" max="394" width="9.1328125" style="4" hidden="1" customWidth="1" outlineLevel="1"/>
    <col min="395" max="395" width="22.59765625" style="4" hidden="1" customWidth="1" outlineLevel="1"/>
    <col min="396" max="396" width="31.3984375" style="4" hidden="1" customWidth="1" outlineLevel="1"/>
    <col min="397" max="397" width="8.73046875" style="4" hidden="1" customWidth="1" outlineLevel="1"/>
    <col min="398" max="398" width="5.59765625" style="4" hidden="1" customWidth="1" outlineLevel="1"/>
    <col min="399" max="399" width="10.73046875" style="10" customWidth="1" collapsed="1"/>
    <col min="400" max="400" width="5.73046875" style="4" customWidth="1"/>
    <col min="401" max="401" width="19.73046875" style="4" hidden="1" customWidth="1" outlineLevel="1"/>
    <col min="402" max="402" width="9.1328125" style="4" hidden="1" customWidth="1" outlineLevel="1"/>
    <col min="403" max="403" width="22.59765625" style="4" hidden="1" customWidth="1" outlineLevel="1"/>
    <col min="404" max="404" width="31.3984375" style="4" hidden="1" customWidth="1" outlineLevel="1"/>
    <col min="405" max="405" width="8.73046875" style="4" hidden="1" customWidth="1" outlineLevel="1"/>
    <col min="406" max="406" width="5.59765625" style="4" hidden="1" customWidth="1" outlineLevel="1"/>
    <col min="407" max="407" width="10.73046875" style="10" customWidth="1" collapsed="1"/>
    <col min="408" max="408" width="5.73046875" style="4" customWidth="1"/>
    <col min="409" max="409" width="19.73046875" style="4" hidden="1" customWidth="1" outlineLevel="1"/>
    <col min="410" max="410" width="9.1328125" style="4" hidden="1" customWidth="1" outlineLevel="1"/>
    <col min="411" max="411" width="22.59765625" style="4" hidden="1" customWidth="1" outlineLevel="1"/>
    <col min="412" max="412" width="31.3984375" style="4" hidden="1" customWidth="1" outlineLevel="1"/>
    <col min="413" max="413" width="8.73046875" style="4" hidden="1" customWidth="1" outlineLevel="1"/>
    <col min="414" max="414" width="5.59765625" style="4" hidden="1" customWidth="1" outlineLevel="1"/>
    <col min="415" max="415" width="10.73046875" style="10" customWidth="1" collapsed="1"/>
    <col min="416" max="416" width="5.73046875" style="4" customWidth="1"/>
    <col min="417" max="417" width="19.73046875" style="4" hidden="1" customWidth="1" outlineLevel="1"/>
    <col min="418" max="418" width="9.1328125" style="4" hidden="1" customWidth="1" outlineLevel="1"/>
    <col min="419" max="419" width="22.59765625" style="4" hidden="1" customWidth="1" outlineLevel="1"/>
    <col min="420" max="420" width="31.3984375" style="4" hidden="1" customWidth="1" outlineLevel="1"/>
    <col min="421" max="421" width="8.73046875" style="4" hidden="1" customWidth="1" outlineLevel="1"/>
    <col min="422" max="422" width="5.59765625" style="4" hidden="1" customWidth="1" outlineLevel="1"/>
    <col min="423" max="423" width="10.73046875" style="10" customWidth="1" collapsed="1"/>
    <col min="424" max="424" width="5.73046875" style="4" customWidth="1"/>
    <col min="425" max="425" width="19.73046875" style="4" hidden="1" customWidth="1" outlineLevel="1"/>
    <col min="426" max="426" width="9.1328125" style="4" hidden="1" customWidth="1" outlineLevel="1"/>
    <col min="427" max="427" width="22.59765625" style="4" hidden="1" customWidth="1" outlineLevel="1"/>
    <col min="428" max="428" width="31.3984375" style="4" hidden="1" customWidth="1" outlineLevel="1"/>
    <col min="429" max="429" width="8.73046875" style="4" hidden="1" customWidth="1" outlineLevel="1"/>
    <col min="430" max="430" width="5.59765625" style="4" hidden="1" customWidth="1" outlineLevel="1"/>
    <col min="431" max="431" width="10.73046875" style="10" customWidth="1" collapsed="1"/>
    <col min="432" max="432" width="5.73046875" style="4" customWidth="1"/>
    <col min="433" max="433" width="19.73046875" style="4" hidden="1" customWidth="1" outlineLevel="1"/>
    <col min="434" max="434" width="9.1328125" style="4" hidden="1" customWidth="1" outlineLevel="1"/>
    <col min="435" max="435" width="22.59765625" style="4" hidden="1" customWidth="1" outlineLevel="1"/>
    <col min="436" max="436" width="31.3984375" style="4" hidden="1" customWidth="1" outlineLevel="1"/>
    <col min="437" max="437" width="8.73046875" style="4" hidden="1" customWidth="1" outlineLevel="1"/>
    <col min="438" max="438" width="5.59765625" style="4" hidden="1" customWidth="1" outlineLevel="1"/>
    <col min="439" max="439" width="10.73046875" style="10" customWidth="1" collapsed="1"/>
    <col min="440" max="440" width="5.73046875" style="4" customWidth="1"/>
    <col min="441" max="441" width="19.73046875" style="4" hidden="1" customWidth="1" outlineLevel="1"/>
    <col min="442" max="442" width="9.1328125" style="4" hidden="1" customWidth="1" outlineLevel="1"/>
    <col min="443" max="443" width="22.59765625" style="4" hidden="1" customWidth="1" outlineLevel="1"/>
    <col min="444" max="444" width="31.3984375" style="4" hidden="1" customWidth="1" outlineLevel="1"/>
    <col min="445" max="445" width="8.73046875" style="4" hidden="1" customWidth="1" outlineLevel="1"/>
    <col min="446" max="446" width="5.59765625" style="4" hidden="1" customWidth="1" outlineLevel="1"/>
    <col min="447" max="447" width="10.73046875" style="10" customWidth="1" collapsed="1"/>
    <col min="448" max="448" width="5.73046875" style="4" customWidth="1"/>
    <col min="449" max="449" width="19.73046875" style="4" hidden="1" customWidth="1" outlineLevel="1"/>
    <col min="450" max="450" width="9.1328125" style="4" hidden="1" customWidth="1" outlineLevel="1"/>
    <col min="451" max="451" width="22.59765625" style="4" hidden="1" customWidth="1" outlineLevel="1"/>
    <col min="452" max="452" width="31.3984375" style="4" hidden="1" customWidth="1" outlineLevel="1"/>
    <col min="453" max="453" width="8.73046875" style="4" hidden="1" customWidth="1" outlineLevel="1"/>
    <col min="454" max="454" width="5.59765625" style="4" hidden="1" customWidth="1" outlineLevel="1"/>
    <col min="455" max="455" width="10.73046875" style="10" customWidth="1" collapsed="1"/>
    <col min="456" max="456" width="5.73046875" style="4" customWidth="1"/>
    <col min="457" max="457" width="19.73046875" style="4" hidden="1" customWidth="1" outlineLevel="1"/>
    <col min="458" max="458" width="9.1328125" style="4" hidden="1" customWidth="1" outlineLevel="1"/>
    <col min="459" max="459" width="22.59765625" style="4" hidden="1" customWidth="1" outlineLevel="1"/>
    <col min="460" max="460" width="31.3984375" style="4" hidden="1" customWidth="1" outlineLevel="1"/>
    <col min="461" max="461" width="8.73046875" style="4" hidden="1" customWidth="1" outlineLevel="1"/>
    <col min="462" max="462" width="5.59765625" style="4" hidden="1" customWidth="1" outlineLevel="1"/>
    <col min="463" max="463" width="10.73046875" style="10" customWidth="1" collapsed="1"/>
    <col min="464" max="464" width="5.73046875" style="4" customWidth="1"/>
    <col min="465" max="465" width="19.73046875" style="4" hidden="1" customWidth="1" outlineLevel="1"/>
    <col min="466" max="466" width="9.1328125" style="4" hidden="1" customWidth="1" outlineLevel="1"/>
    <col min="467" max="467" width="22.59765625" style="4" hidden="1" customWidth="1" outlineLevel="1"/>
    <col min="468" max="468" width="31.3984375" style="4" hidden="1" customWidth="1" outlineLevel="1"/>
    <col min="469" max="469" width="8.73046875" style="4" hidden="1" customWidth="1" outlineLevel="1"/>
    <col min="470" max="470" width="5.59765625" style="4" hidden="1" customWidth="1" outlineLevel="1"/>
    <col min="471" max="471" width="10.73046875" style="10" customWidth="1" collapsed="1"/>
    <col min="472" max="472" width="5.73046875" style="4" customWidth="1"/>
    <col min="473" max="473" width="19.73046875" style="4" hidden="1" customWidth="1" outlineLevel="1"/>
    <col min="474" max="474" width="9.1328125" style="4" hidden="1" customWidth="1" outlineLevel="1"/>
    <col min="475" max="475" width="22.59765625" style="4" hidden="1" customWidth="1" outlineLevel="1"/>
    <col min="476" max="476" width="31.3984375" style="4" hidden="1" customWidth="1" outlineLevel="1"/>
    <col min="477" max="477" width="8.73046875" style="4" hidden="1" customWidth="1" outlineLevel="1"/>
    <col min="478" max="478" width="5.59765625" style="4" hidden="1" customWidth="1" outlineLevel="1"/>
    <col min="479" max="479" width="10.73046875" style="10" customWidth="1" collapsed="1"/>
    <col min="480" max="480" width="5.73046875" style="4" customWidth="1"/>
    <col min="481" max="481" width="19.73046875" style="4" hidden="1" customWidth="1" outlineLevel="1"/>
    <col min="482" max="482" width="9.1328125" style="4" hidden="1" customWidth="1" outlineLevel="1"/>
    <col min="483" max="483" width="22.59765625" style="4" hidden="1" customWidth="1" outlineLevel="1"/>
    <col min="484" max="484" width="31.3984375" style="4" hidden="1" customWidth="1" outlineLevel="1"/>
    <col min="485" max="485" width="8.73046875" style="4" hidden="1" customWidth="1" outlineLevel="1"/>
    <col min="486" max="486" width="5.59765625" style="4" hidden="1" customWidth="1" outlineLevel="1"/>
    <col min="487" max="487" width="10.73046875" style="10" customWidth="1" collapsed="1"/>
    <col min="488" max="488" width="5.73046875" style="4" customWidth="1"/>
    <col min="489" max="489" width="19.73046875" style="4" hidden="1" customWidth="1" outlineLevel="1"/>
    <col min="490" max="490" width="9.1328125" style="4" hidden="1" customWidth="1" outlineLevel="1"/>
    <col min="491" max="491" width="22.59765625" style="4" hidden="1" customWidth="1" outlineLevel="1"/>
    <col min="492" max="492" width="31.3984375" style="4" hidden="1" customWidth="1" outlineLevel="1"/>
    <col min="493" max="493" width="8.73046875" style="4" hidden="1" customWidth="1" outlineLevel="1"/>
    <col min="494" max="494" width="5.59765625" style="4" hidden="1" customWidth="1" outlineLevel="1"/>
    <col min="495" max="495" width="10.73046875" style="10" customWidth="1" collapsed="1"/>
    <col min="496" max="496" width="5.73046875" style="4" customWidth="1"/>
    <col min="497" max="497" width="19.73046875" style="4" hidden="1" customWidth="1" outlineLevel="1"/>
    <col min="498" max="498" width="9.1328125" style="4" hidden="1" customWidth="1" outlineLevel="1"/>
    <col min="499" max="499" width="22.59765625" style="4" hidden="1" customWidth="1" outlineLevel="1"/>
    <col min="500" max="500" width="31.3984375" style="4" hidden="1" customWidth="1" outlineLevel="1"/>
    <col min="501" max="501" width="8.73046875" style="4" hidden="1" customWidth="1" outlineLevel="1"/>
    <col min="502" max="502" width="5.59765625" style="4" hidden="1" customWidth="1" outlineLevel="1"/>
    <col min="503" max="503" width="10.73046875" style="10" customWidth="1" collapsed="1"/>
    <col min="504" max="504" width="5.73046875" style="4" customWidth="1"/>
    <col min="505" max="505" width="19.73046875" style="4" hidden="1" customWidth="1" outlineLevel="1"/>
    <col min="506" max="506" width="9.1328125" style="4" hidden="1" customWidth="1" outlineLevel="1"/>
    <col min="507" max="507" width="22.59765625" style="4" hidden="1" customWidth="1" outlineLevel="1"/>
    <col min="508" max="508" width="31.3984375" style="4" hidden="1" customWidth="1" outlineLevel="1"/>
    <col min="509" max="509" width="8.73046875" style="4" hidden="1" customWidth="1" outlineLevel="1"/>
    <col min="510" max="510" width="5.59765625" style="4" hidden="1" customWidth="1" outlineLevel="1"/>
    <col min="511" max="511" width="10.73046875" style="10" customWidth="1" collapsed="1"/>
    <col min="512" max="512" width="5.73046875" style="4" customWidth="1"/>
    <col min="513" max="513" width="19.73046875" style="4" hidden="1" customWidth="1" outlineLevel="1"/>
    <col min="514" max="514" width="9.1328125" style="4" hidden="1" customWidth="1" outlineLevel="1"/>
    <col min="515" max="515" width="22.59765625" style="4" hidden="1" customWidth="1" outlineLevel="1"/>
    <col min="516" max="516" width="31.3984375" style="4" hidden="1" customWidth="1" outlineLevel="1"/>
    <col min="517" max="517" width="8.73046875" style="4" hidden="1" customWidth="1" outlineLevel="1"/>
    <col min="518" max="518" width="5.59765625" style="4" hidden="1" customWidth="1" outlineLevel="1"/>
    <col min="519" max="519" width="10.73046875" style="10" customWidth="1" collapsed="1"/>
    <col min="520" max="520" width="5.73046875" style="4" customWidth="1"/>
    <col min="521" max="521" width="19.73046875" style="4" hidden="1" customWidth="1" outlineLevel="1"/>
    <col min="522" max="522" width="9.1328125" style="4" hidden="1" customWidth="1" outlineLevel="1"/>
    <col min="523" max="523" width="22.59765625" style="4" hidden="1" customWidth="1" outlineLevel="1"/>
    <col min="524" max="524" width="31.3984375" style="4" hidden="1" customWidth="1" outlineLevel="1"/>
    <col min="525" max="525" width="8.73046875" style="4" hidden="1" customWidth="1" outlineLevel="1"/>
    <col min="526" max="526" width="5.59765625" style="4" hidden="1" customWidth="1" outlineLevel="1"/>
    <col min="527" max="527" width="10.73046875" style="10" customWidth="1" collapsed="1"/>
    <col min="528" max="528" width="5.73046875" style="4" customWidth="1"/>
    <col min="529" max="529" width="19.73046875" style="4" hidden="1" customWidth="1" outlineLevel="1"/>
    <col min="530" max="530" width="9.1328125" style="4" hidden="1" customWidth="1" outlineLevel="1"/>
    <col min="531" max="531" width="22.59765625" style="4" hidden="1" customWidth="1" outlineLevel="1"/>
    <col min="532" max="532" width="31.3984375" style="4" hidden="1" customWidth="1" outlineLevel="1"/>
    <col min="533" max="533" width="8.73046875" style="4" hidden="1" customWidth="1" outlineLevel="1"/>
    <col min="534" max="534" width="5.59765625" style="4" hidden="1" customWidth="1" outlineLevel="1"/>
    <col min="535" max="535" width="10.73046875" style="10" customWidth="1" collapsed="1"/>
    <col min="536" max="536" width="5.73046875" style="4" customWidth="1"/>
    <col min="537" max="537" width="19.73046875" style="4" hidden="1" customWidth="1" outlineLevel="1"/>
    <col min="538" max="538" width="9.1328125" style="4" hidden="1" customWidth="1" outlineLevel="1"/>
    <col min="539" max="539" width="22.59765625" style="4" hidden="1" customWidth="1" outlineLevel="1"/>
    <col min="540" max="540" width="31.3984375" style="4" hidden="1" customWidth="1" outlineLevel="1"/>
    <col min="541" max="541" width="8.73046875" style="4" hidden="1" customWidth="1" outlineLevel="1"/>
    <col min="542" max="542" width="5.59765625" style="4" hidden="1" customWidth="1" outlineLevel="1"/>
    <col min="543" max="543" width="10.73046875" style="10" customWidth="1" collapsed="1"/>
    <col min="544" max="544" width="5.73046875" style="4" customWidth="1"/>
    <col min="545" max="545" width="19.73046875" style="4" hidden="1" customWidth="1" outlineLevel="1"/>
    <col min="546" max="546" width="9.1328125" style="4" hidden="1" customWidth="1" outlineLevel="1"/>
    <col min="547" max="547" width="22.59765625" style="4" hidden="1" customWidth="1" outlineLevel="1"/>
    <col min="548" max="548" width="31.3984375" style="4" hidden="1" customWidth="1" outlineLevel="1"/>
    <col min="549" max="549" width="8.73046875" style="4" hidden="1" customWidth="1" outlineLevel="1"/>
    <col min="550" max="550" width="5.59765625" style="4" hidden="1" customWidth="1" outlineLevel="1"/>
    <col min="551" max="551" width="10.73046875" style="10" customWidth="1" collapsed="1"/>
    <col min="552" max="552" width="5.73046875" style="4" customWidth="1"/>
    <col min="553" max="553" width="19.73046875" style="4" hidden="1" customWidth="1" outlineLevel="1"/>
    <col min="554" max="554" width="9.1328125" style="4" hidden="1" customWidth="1" outlineLevel="1"/>
    <col min="555" max="555" width="22.59765625" style="4" hidden="1" customWidth="1" outlineLevel="1"/>
    <col min="556" max="556" width="31.3984375" style="4" hidden="1" customWidth="1" outlineLevel="1"/>
    <col min="557" max="557" width="8.73046875" style="4" hidden="1" customWidth="1" outlineLevel="1"/>
    <col min="558" max="558" width="5.59765625" style="4" hidden="1" customWidth="1" outlineLevel="1"/>
    <col min="559" max="559" width="10.73046875" style="10" customWidth="1" collapsed="1"/>
    <col min="560" max="560" width="5.73046875" style="4" customWidth="1"/>
    <col min="561" max="561" width="19.73046875" style="4" hidden="1" customWidth="1" outlineLevel="1"/>
    <col min="562" max="562" width="9.1328125" style="4" hidden="1" customWidth="1" outlineLevel="1"/>
    <col min="563" max="563" width="22.59765625" style="4" hidden="1" customWidth="1" outlineLevel="1"/>
    <col min="564" max="564" width="31.3984375" style="4" hidden="1" customWidth="1" outlineLevel="1"/>
    <col min="565" max="565" width="8.73046875" style="4" hidden="1" customWidth="1" outlineLevel="1"/>
    <col min="566" max="566" width="5.59765625" style="4" hidden="1" customWidth="1" outlineLevel="1"/>
    <col min="567" max="567" width="10.73046875" style="10" customWidth="1" collapsed="1"/>
    <col min="568" max="568" width="5.73046875" style="4" customWidth="1"/>
    <col min="569" max="569" width="19.73046875" style="4" hidden="1" customWidth="1" outlineLevel="1"/>
    <col min="570" max="570" width="9.1328125" style="4" hidden="1" customWidth="1" outlineLevel="1"/>
    <col min="571" max="571" width="22.59765625" style="4" hidden="1" customWidth="1" outlineLevel="1"/>
    <col min="572" max="572" width="31.3984375" style="4" hidden="1" customWidth="1" outlineLevel="1"/>
    <col min="573" max="573" width="8.73046875" style="4" hidden="1" customWidth="1" outlineLevel="1"/>
    <col min="574" max="574" width="5.59765625" style="4" hidden="1" customWidth="1" outlineLevel="1"/>
    <col min="575" max="575" width="10.73046875" style="10" customWidth="1" collapsed="1"/>
    <col min="576" max="576" width="5.73046875" style="4" customWidth="1"/>
    <col min="577" max="577" width="19.73046875" style="4" hidden="1" customWidth="1" outlineLevel="1"/>
    <col min="578" max="578" width="9.1328125" style="4" hidden="1" customWidth="1" outlineLevel="1"/>
    <col min="579" max="579" width="22.59765625" style="4" hidden="1" customWidth="1" outlineLevel="1"/>
    <col min="580" max="580" width="31.3984375" style="4" hidden="1" customWidth="1" outlineLevel="1"/>
    <col min="581" max="581" width="8.73046875" style="4" hidden="1" customWidth="1" outlineLevel="1"/>
    <col min="582" max="582" width="5.59765625" style="4" hidden="1" customWidth="1" outlineLevel="1"/>
    <col min="583" max="583" width="10.73046875" style="10" customWidth="1" collapsed="1"/>
    <col min="584" max="584" width="5.73046875" style="4" customWidth="1"/>
    <col min="585" max="585" width="19.73046875" style="4" hidden="1" customWidth="1" outlineLevel="1"/>
    <col min="586" max="586" width="9.1328125" style="4" hidden="1" customWidth="1" outlineLevel="1"/>
    <col min="587" max="587" width="22.59765625" style="4" hidden="1" customWidth="1" outlineLevel="1"/>
    <col min="588" max="588" width="31.3984375" style="4" hidden="1" customWidth="1" outlineLevel="1"/>
    <col min="589" max="589" width="8.73046875" style="4" hidden="1" customWidth="1" outlineLevel="1"/>
    <col min="590" max="590" width="5.59765625" style="4" hidden="1" customWidth="1" outlineLevel="1"/>
    <col min="591" max="591" width="10.73046875" style="10" customWidth="1" collapsed="1"/>
    <col min="592" max="16384" width="9.1328125" style="4"/>
  </cols>
  <sheetData>
    <row r="1" spans="3:591" x14ac:dyDescent="0.4">
      <c r="O1" s="346" t="s">
        <v>468</v>
      </c>
      <c r="AC1" s="346" t="s">
        <v>469</v>
      </c>
      <c r="AH1" s="366" t="s">
        <v>483</v>
      </c>
      <c r="BK1" s="366" t="s">
        <v>488</v>
      </c>
      <c r="BS1" s="346" t="s">
        <v>208</v>
      </c>
      <c r="CA1" s="346" t="s">
        <v>518</v>
      </c>
      <c r="CI1" s="346" t="s">
        <v>209</v>
      </c>
      <c r="CQ1" s="346" t="s">
        <v>210</v>
      </c>
      <c r="CY1" s="346" t="s">
        <v>519</v>
      </c>
      <c r="DG1" s="346" t="s">
        <v>211</v>
      </c>
      <c r="DO1" s="346" t="s">
        <v>212</v>
      </c>
      <c r="DW1" s="369" t="s">
        <v>509</v>
      </c>
      <c r="EE1" s="346" t="s">
        <v>213</v>
      </c>
      <c r="EM1" s="346" t="s">
        <v>214</v>
      </c>
      <c r="EU1" s="346" t="s">
        <v>215</v>
      </c>
      <c r="FC1" s="369" t="s">
        <v>216</v>
      </c>
      <c r="FK1" s="346" t="s">
        <v>217</v>
      </c>
      <c r="FS1" s="346" t="s">
        <v>520</v>
      </c>
      <c r="GA1" s="346" t="s">
        <v>218</v>
      </c>
      <c r="GI1" s="346" t="s">
        <v>220</v>
      </c>
      <c r="GQ1" s="346" t="s">
        <v>221</v>
      </c>
      <c r="GY1" s="346" t="s">
        <v>219</v>
      </c>
      <c r="HG1" s="346" t="s">
        <v>222</v>
      </c>
      <c r="HO1" s="346" t="s">
        <v>223</v>
      </c>
      <c r="HW1" s="346" t="s">
        <v>224</v>
      </c>
      <c r="IE1" s="346" t="s">
        <v>225</v>
      </c>
      <c r="IM1" s="346" t="s">
        <v>226</v>
      </c>
      <c r="IU1" s="346" t="s">
        <v>227</v>
      </c>
      <c r="JC1" s="346" t="s">
        <v>228</v>
      </c>
      <c r="JK1" s="346" t="s">
        <v>229</v>
      </c>
      <c r="JS1" s="346" t="s">
        <v>230</v>
      </c>
      <c r="KA1" s="346" t="s">
        <v>233</v>
      </c>
      <c r="KI1" s="346" t="s">
        <v>232</v>
      </c>
      <c r="KQ1" s="346" t="s">
        <v>234</v>
      </c>
      <c r="KY1" s="346" t="s">
        <v>235</v>
      </c>
      <c r="LG1" s="346" t="s">
        <v>236</v>
      </c>
      <c r="LO1" s="346" t="s">
        <v>521</v>
      </c>
      <c r="LW1" s="346" t="s">
        <v>522</v>
      </c>
      <c r="ME1" s="346" t="s">
        <v>237</v>
      </c>
      <c r="MM1" s="346" t="s">
        <v>238</v>
      </c>
      <c r="MU1" s="346" t="s">
        <v>239</v>
      </c>
      <c r="NC1" s="346" t="s">
        <v>240</v>
      </c>
      <c r="NK1" s="346" t="s">
        <v>241</v>
      </c>
      <c r="NS1" s="346" t="s">
        <v>242</v>
      </c>
      <c r="OA1" s="346" t="s">
        <v>243</v>
      </c>
      <c r="OI1" s="346" t="s">
        <v>244</v>
      </c>
      <c r="OQ1" s="346" t="s">
        <v>245</v>
      </c>
      <c r="OY1" s="346" t="s">
        <v>246</v>
      </c>
      <c r="PG1" s="346" t="s">
        <v>523</v>
      </c>
      <c r="PO1" s="346" t="s">
        <v>524</v>
      </c>
      <c r="PW1" s="346" t="s">
        <v>247</v>
      </c>
      <c r="QE1" s="346" t="s">
        <v>248</v>
      </c>
      <c r="QM1" s="346" t="s">
        <v>249</v>
      </c>
      <c r="QU1" s="346" t="s">
        <v>250</v>
      </c>
      <c r="RC1" s="346" t="s">
        <v>251</v>
      </c>
      <c r="RK1" s="346" t="s">
        <v>252</v>
      </c>
      <c r="RS1" s="346" t="s">
        <v>253</v>
      </c>
      <c r="SA1" s="346" t="s">
        <v>254</v>
      </c>
      <c r="SI1" s="346" t="s">
        <v>255</v>
      </c>
      <c r="SQ1" s="346" t="s">
        <v>256</v>
      </c>
      <c r="SY1" s="346" t="s">
        <v>257</v>
      </c>
      <c r="TG1" s="346" t="s">
        <v>231</v>
      </c>
      <c r="TO1" s="346" t="s">
        <v>258</v>
      </c>
      <c r="TW1" s="346" t="s">
        <v>259</v>
      </c>
      <c r="UE1" s="346" t="s">
        <v>260</v>
      </c>
      <c r="UM1" s="346" t="s">
        <v>261</v>
      </c>
      <c r="UU1" s="346" t="s">
        <v>525</v>
      </c>
      <c r="VC1" s="346" t="s">
        <v>526</v>
      </c>
      <c r="VK1" s="346" t="s">
        <v>262</v>
      </c>
      <c r="VS1" s="346" t="s">
        <v>263</v>
      </c>
    </row>
    <row r="2" spans="3:591" ht="13.5" thickBot="1" x14ac:dyDescent="0.45">
      <c r="O2" s="346"/>
      <c r="AC2" s="346"/>
      <c r="AG2" s="1"/>
      <c r="AH2" s="366"/>
      <c r="BK2" s="366"/>
      <c r="BS2" s="346"/>
      <c r="CA2" s="346"/>
      <c r="CI2" s="346"/>
      <c r="CQ2" s="346"/>
      <c r="CY2" s="346"/>
      <c r="DG2" s="346"/>
      <c r="DO2" s="346"/>
      <c r="DW2" s="369"/>
      <c r="EE2" s="346"/>
      <c r="EM2" s="346"/>
      <c r="EU2" s="346"/>
      <c r="FC2" s="369"/>
      <c r="FK2" s="346"/>
      <c r="FS2" s="346"/>
      <c r="GA2" s="346"/>
      <c r="GI2" s="346"/>
      <c r="GQ2" s="346"/>
      <c r="GY2" s="346"/>
      <c r="HG2" s="346"/>
      <c r="HO2" s="346"/>
      <c r="HW2" s="346"/>
      <c r="IE2" s="346"/>
      <c r="IM2" s="346"/>
      <c r="IU2" s="346"/>
      <c r="JC2" s="346"/>
      <c r="JK2" s="346"/>
      <c r="JS2" s="346"/>
      <c r="KA2" s="346"/>
      <c r="KI2" s="346"/>
      <c r="KQ2" s="346"/>
      <c r="KY2" s="346"/>
      <c r="LG2" s="346"/>
      <c r="LO2" s="346"/>
      <c r="LW2" s="346"/>
      <c r="ME2" s="346"/>
      <c r="MM2" s="346"/>
      <c r="MU2" s="346"/>
      <c r="NC2" s="346"/>
      <c r="NK2" s="346"/>
      <c r="NS2" s="346"/>
      <c r="OA2" s="346"/>
      <c r="OI2" s="346"/>
      <c r="OQ2" s="346"/>
      <c r="OY2" s="346"/>
      <c r="PG2" s="346"/>
      <c r="PO2" s="346"/>
      <c r="PW2" s="346"/>
      <c r="QE2" s="346"/>
      <c r="QM2" s="346"/>
      <c r="QU2" s="346"/>
      <c r="RC2" s="346"/>
      <c r="RK2" s="346"/>
      <c r="RS2" s="346"/>
      <c r="SA2" s="346"/>
      <c r="SI2" s="346"/>
      <c r="SQ2" s="346"/>
      <c r="SY2" s="346"/>
      <c r="TG2" s="346"/>
      <c r="TO2" s="346"/>
      <c r="TW2" s="346"/>
      <c r="UE2" s="346"/>
      <c r="UM2" s="346"/>
      <c r="UU2" s="346"/>
      <c r="VC2" s="346"/>
      <c r="VK2" s="346"/>
      <c r="VS2" s="346"/>
    </row>
    <row r="3" spans="3:591" ht="13.5" customHeight="1" thickBot="1" x14ac:dyDescent="0.45">
      <c r="C3" s="347" t="s">
        <v>468</v>
      </c>
      <c r="D3" s="348"/>
      <c r="E3" s="348"/>
      <c r="F3" s="348"/>
      <c r="G3" s="348"/>
      <c r="H3" s="348"/>
      <c r="I3" s="348"/>
      <c r="J3" s="348"/>
      <c r="K3" s="348"/>
      <c r="L3" s="348"/>
      <c r="M3" s="349"/>
      <c r="O3" s="346"/>
      <c r="Q3" s="347" t="s">
        <v>469</v>
      </c>
      <c r="R3" s="348"/>
      <c r="S3" s="348"/>
      <c r="T3" s="348"/>
      <c r="U3" s="348"/>
      <c r="V3" s="348"/>
      <c r="W3" s="348"/>
      <c r="X3" s="348"/>
      <c r="Y3" s="348"/>
      <c r="Z3" s="348"/>
      <c r="AA3" s="349"/>
      <c r="AC3" s="346"/>
      <c r="AE3" s="362" t="s">
        <v>483</v>
      </c>
      <c r="AF3" s="363"/>
      <c r="AG3" s="1"/>
      <c r="AH3" s="366"/>
      <c r="BK3" s="366"/>
      <c r="BM3" s="347" t="str">
        <f>BS1</f>
        <v>MERCEDEZ GLE 53 Rear Axle LINE 2</v>
      </c>
      <c r="BN3" s="348"/>
      <c r="BO3" s="348"/>
      <c r="BP3" s="348"/>
      <c r="BQ3" s="349"/>
      <c r="BS3" s="346"/>
      <c r="BU3" s="347" t="str">
        <f>CA1</f>
        <v>MERCEDEZ GLE 580 Rear Axle LINE 2</v>
      </c>
      <c r="BV3" s="348"/>
      <c r="BW3" s="348"/>
      <c r="BX3" s="348"/>
      <c r="BY3" s="349"/>
      <c r="CA3" s="346"/>
      <c r="CC3" s="347" t="str">
        <f>CI1</f>
        <v>MERCEDEZ LE 300 Coupé Rear Axle LINE 2</v>
      </c>
      <c r="CD3" s="348"/>
      <c r="CE3" s="348"/>
      <c r="CF3" s="348"/>
      <c r="CG3" s="349"/>
      <c r="CI3" s="346"/>
      <c r="CK3" s="347" t="str">
        <f>CQ1</f>
        <v>MERCEDEZ GLE 53 Front Axle LINE 1</v>
      </c>
      <c r="CL3" s="348"/>
      <c r="CM3" s="348"/>
      <c r="CN3" s="348"/>
      <c r="CO3" s="349"/>
      <c r="CQ3" s="346"/>
      <c r="CS3" s="347" t="str">
        <f>CY1</f>
        <v>MERCEDEZ GLE 580 Front Axle LINE 1</v>
      </c>
      <c r="CT3" s="348"/>
      <c r="CU3" s="348"/>
      <c r="CV3" s="348"/>
      <c r="CW3" s="349"/>
      <c r="CY3" s="346"/>
      <c r="DA3" s="347" t="str">
        <f>DG1</f>
        <v>MERCEDEZ LE 300 Coupé Front Axle LINE 1</v>
      </c>
      <c r="DB3" s="348"/>
      <c r="DC3" s="348"/>
      <c r="DD3" s="348"/>
      <c r="DE3" s="349"/>
      <c r="DG3" s="346"/>
      <c r="DI3" s="347" t="str">
        <f>DO1</f>
        <v>MERCEDEZ GLE 53 Rear Bumper LINE 1</v>
      </c>
      <c r="DJ3" s="348"/>
      <c r="DK3" s="348"/>
      <c r="DL3" s="348"/>
      <c r="DM3" s="349"/>
      <c r="DO3" s="346"/>
      <c r="DQ3" s="347" t="str">
        <f>DW1</f>
        <v>MERCEDEZ GLE 580 Rear Bumper LINE 1</v>
      </c>
      <c r="DR3" s="348"/>
      <c r="DS3" s="348"/>
      <c r="DT3" s="348"/>
      <c r="DU3" s="349"/>
      <c r="DW3" s="369"/>
      <c r="DY3" s="347" t="str">
        <f>EE1</f>
        <v>MERCEDEZ LE 300 Coupé Rear Bumper LINE 3</v>
      </c>
      <c r="DZ3" s="348"/>
      <c r="EA3" s="348"/>
      <c r="EB3" s="348"/>
      <c r="EC3" s="349"/>
      <c r="EE3" s="346"/>
      <c r="EG3" s="347" t="str">
        <f>EM1</f>
        <v>BMW X7 Rear Bumper LINE 1</v>
      </c>
      <c r="EH3" s="348"/>
      <c r="EI3" s="348"/>
      <c r="EJ3" s="348"/>
      <c r="EK3" s="349"/>
      <c r="EM3" s="346"/>
      <c r="EO3" s="347" t="str">
        <f>EU1</f>
        <v>BMW 420d Gran Coupé Rear Bumper LINE 3</v>
      </c>
      <c r="EP3" s="348"/>
      <c r="EQ3" s="348"/>
      <c r="ER3" s="348"/>
      <c r="ES3" s="349"/>
      <c r="EU3" s="346"/>
      <c r="EW3" s="347" t="str">
        <f>FC1</f>
        <v>BMW M550i xDrive Rear Bumper LINE 3</v>
      </c>
      <c r="EX3" s="348"/>
      <c r="EY3" s="348"/>
      <c r="EZ3" s="348"/>
      <c r="FA3" s="349"/>
      <c r="FC3" s="369"/>
      <c r="FE3" s="347" t="str">
        <f>FK1</f>
        <v>MERCEDEZ GLE 53 Front Bumper LINE 2</v>
      </c>
      <c r="FF3" s="348"/>
      <c r="FG3" s="348"/>
      <c r="FH3" s="348"/>
      <c r="FI3" s="349"/>
      <c r="FK3" s="346"/>
      <c r="FM3" s="347" t="str">
        <f>FS1</f>
        <v>MERCEDEZ GLE 580 Front Bumper LINE 2</v>
      </c>
      <c r="FN3" s="348"/>
      <c r="FO3" s="348"/>
      <c r="FP3" s="348"/>
      <c r="FQ3" s="349"/>
      <c r="FS3" s="346"/>
      <c r="FU3" s="347" t="str">
        <f>GA1</f>
        <v>MERCEDEZ LE 300 Coupé Front Bumper LINE 4</v>
      </c>
      <c r="FV3" s="348"/>
      <c r="FW3" s="348"/>
      <c r="FX3" s="348"/>
      <c r="FY3" s="349"/>
      <c r="GA3" s="346"/>
      <c r="GC3" s="347" t="str">
        <f>GI1</f>
        <v>BMW X7 Front Bumper LINE 2</v>
      </c>
      <c r="GD3" s="348"/>
      <c r="GE3" s="348"/>
      <c r="GF3" s="348"/>
      <c r="GG3" s="349"/>
      <c r="GI3" s="346"/>
      <c r="GK3" s="347" t="str">
        <f>GQ1</f>
        <v>BMW 420d Gran Coupé Front Bumper LINE 4</v>
      </c>
      <c r="GL3" s="348"/>
      <c r="GM3" s="348"/>
      <c r="GN3" s="348"/>
      <c r="GO3" s="349"/>
      <c r="GQ3" s="346"/>
      <c r="GS3" s="347" t="str">
        <f>GY1</f>
        <v>BMW M550i xDrive Front Bumper LINE 4</v>
      </c>
      <c r="GT3" s="348"/>
      <c r="GU3" s="348"/>
      <c r="GV3" s="348"/>
      <c r="GW3" s="349"/>
      <c r="GY3" s="346"/>
      <c r="HA3" s="347" t="str">
        <f>HG1</f>
        <v>BMW X7 B-Pillar LH LINE 3</v>
      </c>
      <c r="HB3" s="348"/>
      <c r="HC3" s="348"/>
      <c r="HD3" s="348"/>
      <c r="HE3" s="349"/>
      <c r="HG3" s="346"/>
      <c r="HI3" s="347" t="str">
        <f>HO1</f>
        <v>BMW X7 B-Pillar RH LINE 3</v>
      </c>
      <c r="HJ3" s="348"/>
      <c r="HK3" s="348"/>
      <c r="HL3" s="348"/>
      <c r="HM3" s="349"/>
      <c r="HO3" s="346"/>
      <c r="HQ3" s="347" t="str">
        <f>HW1</f>
        <v>BMW 420d Gran Coupé B-Pillar LH LINE 3</v>
      </c>
      <c r="HR3" s="348"/>
      <c r="HS3" s="348"/>
      <c r="HT3" s="348"/>
      <c r="HU3" s="349"/>
      <c r="HW3" s="346"/>
      <c r="HY3" s="347" t="str">
        <f>IE1</f>
        <v>BMW 420d Gran Coupé B-Pillar RH LINE 3</v>
      </c>
      <c r="HZ3" s="348"/>
      <c r="IA3" s="348"/>
      <c r="IB3" s="348"/>
      <c r="IC3" s="349"/>
      <c r="IE3" s="346"/>
      <c r="IG3" s="347" t="str">
        <f>IM1</f>
        <v>BMW M550i xDrive B-Pillar LH LINE 3</v>
      </c>
      <c r="IH3" s="348"/>
      <c r="II3" s="348"/>
      <c r="IJ3" s="348"/>
      <c r="IK3" s="349"/>
      <c r="IM3" s="346"/>
      <c r="IO3" s="347" t="str">
        <f>IU1</f>
        <v>BMW M550i xDrive B-Pillar RH LINE 3</v>
      </c>
      <c r="IP3" s="348"/>
      <c r="IQ3" s="348"/>
      <c r="IR3" s="348"/>
      <c r="IS3" s="349"/>
      <c r="IU3" s="346"/>
      <c r="IW3" s="347" t="str">
        <f>JC1</f>
        <v>BMW X7 A-Pillar LH LINE 2</v>
      </c>
      <c r="IX3" s="348"/>
      <c r="IY3" s="348"/>
      <c r="IZ3" s="348"/>
      <c r="JA3" s="349"/>
      <c r="JC3" s="346"/>
      <c r="JE3" s="347" t="str">
        <f>JK1</f>
        <v>BMW X7 A-Pillar RH LINE 2</v>
      </c>
      <c r="JF3" s="348"/>
      <c r="JG3" s="348"/>
      <c r="JH3" s="348"/>
      <c r="JI3" s="349"/>
      <c r="JK3" s="346"/>
      <c r="JM3" s="347" t="str">
        <f>JS1</f>
        <v>BMW 420d Gran Coupé A-Pillar LH LINE 2</v>
      </c>
      <c r="JN3" s="348"/>
      <c r="JO3" s="348"/>
      <c r="JP3" s="348"/>
      <c r="JQ3" s="349"/>
      <c r="JS3" s="346"/>
      <c r="JU3" s="347" t="str">
        <f>KA1</f>
        <v>BMW 420d Gran Coupé A-Pillar RH LINE 2</v>
      </c>
      <c r="JV3" s="348"/>
      <c r="JW3" s="348"/>
      <c r="JX3" s="348"/>
      <c r="JY3" s="349"/>
      <c r="KA3" s="346"/>
      <c r="KC3" s="347" t="str">
        <f>KI1</f>
        <v>BMW M550i xDrive A-Pillar LH LINE 2</v>
      </c>
      <c r="KD3" s="348"/>
      <c r="KE3" s="348"/>
      <c r="KF3" s="348"/>
      <c r="KG3" s="349"/>
      <c r="KI3" s="346"/>
      <c r="KK3" s="347" t="str">
        <f>KQ1</f>
        <v>BMW M550i xDrive A-Pillar RH LINE 2</v>
      </c>
      <c r="KL3" s="348"/>
      <c r="KM3" s="348"/>
      <c r="KN3" s="348"/>
      <c r="KO3" s="349"/>
      <c r="KQ3" s="346"/>
      <c r="KS3" s="347" t="str">
        <f>KY1</f>
        <v>MERCEDEZ GLE 53 C-Pillar LH LINE 2</v>
      </c>
      <c r="KT3" s="348"/>
      <c r="KU3" s="348"/>
      <c r="KV3" s="348"/>
      <c r="KW3" s="349"/>
      <c r="KY3" s="346"/>
      <c r="LA3" s="347" t="str">
        <f>LG1</f>
        <v>MERCEDEZ GLE 53 C-Pillar RH LINE 1</v>
      </c>
      <c r="LB3" s="348"/>
      <c r="LC3" s="348"/>
      <c r="LD3" s="348"/>
      <c r="LE3" s="349"/>
      <c r="LG3" s="346"/>
      <c r="LI3" s="347" t="str">
        <f>LO1</f>
        <v>MERCEDEZ GLE 580 C-Pillar LH LINE 2</v>
      </c>
      <c r="LJ3" s="348"/>
      <c r="LK3" s="348"/>
      <c r="LL3" s="348"/>
      <c r="LM3" s="349"/>
      <c r="LO3" s="346"/>
      <c r="LQ3" s="347" t="str">
        <f>LW1</f>
        <v>MERCEDEZ GLE 580 C-Pillar RH LINE 1</v>
      </c>
      <c r="LR3" s="348"/>
      <c r="LS3" s="348"/>
      <c r="LT3" s="348"/>
      <c r="LU3" s="349"/>
      <c r="LW3" s="346"/>
      <c r="LY3" s="347" t="str">
        <f>ME1</f>
        <v>MERCEDEZ LE 300 Coupé C-Pillar LH LINE 2</v>
      </c>
      <c r="LZ3" s="348"/>
      <c r="MA3" s="348"/>
      <c r="MB3" s="348"/>
      <c r="MC3" s="349"/>
      <c r="ME3" s="346"/>
      <c r="MG3" s="347" t="str">
        <f>MM1</f>
        <v>MERCEDEZ LE 300 Coupé C-Pillar RH LINE 1</v>
      </c>
      <c r="MH3" s="348"/>
      <c r="MI3" s="348"/>
      <c r="MJ3" s="348"/>
      <c r="MK3" s="349"/>
      <c r="MM3" s="346"/>
      <c r="MO3" s="347" t="str">
        <f>MU1</f>
        <v>BMW X7 C-Pillar LH LINE 2</v>
      </c>
      <c r="MP3" s="348"/>
      <c r="MQ3" s="348"/>
      <c r="MR3" s="348"/>
      <c r="MS3" s="349"/>
      <c r="MU3" s="346"/>
      <c r="MW3" s="347" t="str">
        <f>NC1</f>
        <v>BMW X7 C-Pillar RH LINE 1</v>
      </c>
      <c r="MX3" s="348"/>
      <c r="MY3" s="348"/>
      <c r="MZ3" s="348"/>
      <c r="NA3" s="349"/>
      <c r="NC3" s="346"/>
      <c r="NE3" s="347" t="str">
        <f>NK1</f>
        <v>BMW 420d Gran Coupé C-Pillar LH LINE 2</v>
      </c>
      <c r="NF3" s="348"/>
      <c r="NG3" s="348"/>
      <c r="NH3" s="348"/>
      <c r="NI3" s="349"/>
      <c r="NK3" s="346"/>
      <c r="NM3" s="347" t="str">
        <f>NS1</f>
        <v>BMW 420d Gran Coupé C-Pillar RH LINE 1</v>
      </c>
      <c r="NN3" s="348"/>
      <c r="NO3" s="348"/>
      <c r="NP3" s="348"/>
      <c r="NQ3" s="349"/>
      <c r="NS3" s="346"/>
      <c r="NU3" s="347" t="str">
        <f>OA1</f>
        <v>BMW M550i xDrive C-Pillar LH LINE 2</v>
      </c>
      <c r="NV3" s="348"/>
      <c r="NW3" s="348"/>
      <c r="NX3" s="348"/>
      <c r="NY3" s="349"/>
      <c r="OA3" s="346"/>
      <c r="OC3" s="347" t="str">
        <f>OI1</f>
        <v>BMW M550i xDrive C-Pillar RH LINE 1</v>
      </c>
      <c r="OD3" s="348"/>
      <c r="OE3" s="348"/>
      <c r="OF3" s="348"/>
      <c r="OG3" s="349"/>
      <c r="OI3" s="346"/>
      <c r="OK3" s="347" t="str">
        <f>OQ1</f>
        <v>MERCEDEZ GLE 53 IP LHD LINE 1</v>
      </c>
      <c r="OL3" s="348"/>
      <c r="OM3" s="348"/>
      <c r="ON3" s="348"/>
      <c r="OO3" s="349"/>
      <c r="OQ3" s="346"/>
      <c r="OS3" s="347" t="str">
        <f>OY1</f>
        <v>MERCEDEZ GLE 53 IP RHD LINE 2</v>
      </c>
      <c r="OT3" s="348"/>
      <c r="OU3" s="348"/>
      <c r="OV3" s="348"/>
      <c r="OW3" s="349"/>
      <c r="OY3" s="346"/>
      <c r="PA3" s="347" t="str">
        <f>PG1</f>
        <v>MERCEDEZ GLE 580 IP LHD LINE 1</v>
      </c>
      <c r="PB3" s="348"/>
      <c r="PC3" s="348"/>
      <c r="PD3" s="348"/>
      <c r="PE3" s="349"/>
      <c r="PG3" s="346"/>
      <c r="PI3" s="347" t="str">
        <f>PO1</f>
        <v>MERCEDEZ GLE 580 IP RHD LINE 2</v>
      </c>
      <c r="PJ3" s="348"/>
      <c r="PK3" s="348"/>
      <c r="PL3" s="348"/>
      <c r="PM3" s="349"/>
      <c r="PO3" s="346"/>
      <c r="PQ3" s="347" t="str">
        <f>PW1</f>
        <v>MERCEDEZ LE 300 Coupé IP LHD LINE 1</v>
      </c>
      <c r="PR3" s="348"/>
      <c r="PS3" s="348"/>
      <c r="PT3" s="348"/>
      <c r="PU3" s="349"/>
      <c r="PW3" s="346"/>
      <c r="PY3" s="347" t="str">
        <f>QE1</f>
        <v>MERCEDEZ LE 300 Coupé IP RHD LINE 2</v>
      </c>
      <c r="PZ3" s="348"/>
      <c r="QA3" s="348"/>
      <c r="QB3" s="348"/>
      <c r="QC3" s="349"/>
      <c r="QE3" s="346"/>
      <c r="QG3" s="347" t="str">
        <f>QM1</f>
        <v>BMW X7 IP LHD LINE 2</v>
      </c>
      <c r="QH3" s="348"/>
      <c r="QI3" s="348"/>
      <c r="QJ3" s="348"/>
      <c r="QK3" s="349"/>
      <c r="QM3" s="346"/>
      <c r="QO3" s="347" t="str">
        <f>QU1</f>
        <v>BMW X7 IP RHD LINE 1</v>
      </c>
      <c r="QP3" s="348"/>
      <c r="QQ3" s="348"/>
      <c r="QR3" s="348"/>
      <c r="QS3" s="349"/>
      <c r="QU3" s="346"/>
      <c r="QW3" s="347" t="str">
        <f>RC1</f>
        <v>BMW 420d Gran Coupé IP LHD LINE 2</v>
      </c>
      <c r="QX3" s="348"/>
      <c r="QY3" s="348"/>
      <c r="QZ3" s="348"/>
      <c r="RA3" s="349"/>
      <c r="RC3" s="346"/>
      <c r="RE3" s="347" t="str">
        <f>RK1</f>
        <v>BMW 420d Gran Coupé IP RHD LINE 1</v>
      </c>
      <c r="RF3" s="348"/>
      <c r="RG3" s="348"/>
      <c r="RH3" s="348"/>
      <c r="RI3" s="349"/>
      <c r="RK3" s="346"/>
      <c r="RM3" s="347" t="str">
        <f>RS1</f>
        <v>BMW M550i xDrive IP LHD LINE 2</v>
      </c>
      <c r="RN3" s="348"/>
      <c r="RO3" s="348"/>
      <c r="RP3" s="348"/>
      <c r="RQ3" s="349"/>
      <c r="RS3" s="346"/>
      <c r="RU3" s="347" t="str">
        <f>SA1</f>
        <v>BMW M550i xDrive IP RHD LINE 1</v>
      </c>
      <c r="RV3" s="348"/>
      <c r="RW3" s="348"/>
      <c r="RX3" s="348"/>
      <c r="RY3" s="349"/>
      <c r="SA3" s="346"/>
      <c r="SC3" s="347" t="str">
        <f>SI1</f>
        <v>BMW X7 A-Pillar LH LINE 4</v>
      </c>
      <c r="SD3" s="348"/>
      <c r="SE3" s="348"/>
      <c r="SF3" s="348"/>
      <c r="SG3" s="349"/>
      <c r="SI3" s="346"/>
      <c r="SK3" s="347" t="str">
        <f>SQ1</f>
        <v>BMW X7 A-Pillar RH LINE 4</v>
      </c>
      <c r="SL3" s="348"/>
      <c r="SM3" s="348"/>
      <c r="SN3" s="348"/>
      <c r="SO3" s="349"/>
      <c r="SQ3" s="346"/>
      <c r="SS3" s="347" t="str">
        <f>SY1</f>
        <v>BMW 420d Gran Coupé A-Pillar LH LINE 4</v>
      </c>
      <c r="ST3" s="348"/>
      <c r="SU3" s="348"/>
      <c r="SV3" s="348"/>
      <c r="SW3" s="349"/>
      <c r="SY3" s="346"/>
      <c r="TA3" s="347" t="str">
        <f>TG1</f>
        <v>BMW 420d Gran Coupé A-Pillar RH LINE 4</v>
      </c>
      <c r="TB3" s="348"/>
      <c r="TC3" s="348"/>
      <c r="TD3" s="348"/>
      <c r="TE3" s="349"/>
      <c r="TG3" s="346"/>
      <c r="TI3" s="347" t="str">
        <f>TO1</f>
        <v>BMW M550i xDrive A-Pillar LH LINE 4</v>
      </c>
      <c r="TJ3" s="348"/>
      <c r="TK3" s="348"/>
      <c r="TL3" s="348"/>
      <c r="TM3" s="349"/>
      <c r="TO3" s="346"/>
      <c r="TQ3" s="347" t="str">
        <f>TW1</f>
        <v>BMW M550i xDrive A-Pillar RH LINE 4</v>
      </c>
      <c r="TR3" s="348"/>
      <c r="TS3" s="348"/>
      <c r="TT3" s="348"/>
      <c r="TU3" s="349"/>
      <c r="TW3" s="346"/>
      <c r="TY3" s="347" t="str">
        <f>UE1</f>
        <v>MERCEDEZ GLE 53 C-Pillar LH LINE 4</v>
      </c>
      <c r="TZ3" s="348"/>
      <c r="UA3" s="348"/>
      <c r="UB3" s="348"/>
      <c r="UC3" s="349"/>
      <c r="UE3" s="346"/>
      <c r="UG3" s="347" t="str">
        <f>UM1</f>
        <v>MERCEDEZ GLE 53 C-Pillar RH LINE 3</v>
      </c>
      <c r="UH3" s="348"/>
      <c r="UI3" s="348"/>
      <c r="UJ3" s="348"/>
      <c r="UK3" s="349"/>
      <c r="UM3" s="346"/>
      <c r="UO3" s="347" t="str">
        <f>UU1</f>
        <v>MERCEDEZ GLE 580 C-Pillar LH LINE 4</v>
      </c>
      <c r="UP3" s="348"/>
      <c r="UQ3" s="348"/>
      <c r="UR3" s="348"/>
      <c r="US3" s="349"/>
      <c r="UU3" s="346"/>
      <c r="UW3" s="347" t="str">
        <f>VC1</f>
        <v>MERCEDEZ GLE 580 C-Pillar RH LINE 3</v>
      </c>
      <c r="UX3" s="348"/>
      <c r="UY3" s="348"/>
      <c r="UZ3" s="348"/>
      <c r="VA3" s="349"/>
      <c r="VC3" s="346"/>
      <c r="VE3" s="347" t="str">
        <f>VK1</f>
        <v>MERCEDEZ LE 300 Coupé C-Pillar LH LINE 4</v>
      </c>
      <c r="VF3" s="348"/>
      <c r="VG3" s="348"/>
      <c r="VH3" s="348"/>
      <c r="VI3" s="349"/>
      <c r="VK3" s="346"/>
      <c r="VM3" s="347" t="str">
        <f>VS1</f>
        <v>MERCEDEZ LE 300 Coupé C-Pillar RH LINE 3</v>
      </c>
      <c r="VN3" s="348"/>
      <c r="VO3" s="348"/>
      <c r="VP3" s="348"/>
      <c r="VQ3" s="349"/>
      <c r="VS3" s="346"/>
    </row>
    <row r="4" spans="3:591" ht="13.5" customHeight="1" thickBot="1" x14ac:dyDescent="0.45">
      <c r="C4" s="350"/>
      <c r="D4" s="351"/>
      <c r="E4" s="351"/>
      <c r="F4" s="351"/>
      <c r="G4" s="351"/>
      <c r="H4" s="351"/>
      <c r="I4" s="351"/>
      <c r="J4" s="351"/>
      <c r="K4" s="351"/>
      <c r="L4" s="351"/>
      <c r="M4" s="352"/>
      <c r="O4" s="346"/>
      <c r="Q4" s="350"/>
      <c r="R4" s="351"/>
      <c r="S4" s="351"/>
      <c r="T4" s="351"/>
      <c r="U4" s="351"/>
      <c r="V4" s="351"/>
      <c r="W4" s="351"/>
      <c r="X4" s="351"/>
      <c r="Y4" s="351"/>
      <c r="Z4" s="351"/>
      <c r="AA4" s="352"/>
      <c r="AC4" s="346"/>
      <c r="AE4" s="364"/>
      <c r="AF4" s="365"/>
      <c r="AG4" s="1"/>
      <c r="AH4" s="366"/>
      <c r="AK4" s="356" t="s">
        <v>486</v>
      </c>
      <c r="AL4" s="357"/>
      <c r="AM4" s="357"/>
      <c r="AN4" s="357"/>
      <c r="AO4" s="357"/>
      <c r="AP4" s="357"/>
      <c r="AQ4" s="357"/>
      <c r="AR4" s="357"/>
      <c r="AS4" s="357"/>
      <c r="AT4" s="357"/>
      <c r="AU4" s="357"/>
      <c r="AV4" s="357"/>
      <c r="AW4" s="357"/>
      <c r="AX4" s="357"/>
      <c r="AY4" s="360"/>
      <c r="AZ4" s="11"/>
      <c r="BA4" s="11"/>
      <c r="BB4" s="11"/>
      <c r="BC4" s="11"/>
      <c r="BD4" s="11"/>
      <c r="BE4" s="11"/>
      <c r="BF4" s="11"/>
      <c r="BG4" s="11"/>
      <c r="BH4" s="11"/>
      <c r="BI4" s="11"/>
      <c r="BJ4" s="11"/>
      <c r="BK4" s="366"/>
      <c r="BM4" s="350"/>
      <c r="BN4" s="351"/>
      <c r="BO4" s="351"/>
      <c r="BP4" s="351"/>
      <c r="BQ4" s="352"/>
      <c r="BS4" s="346"/>
      <c r="BU4" s="350"/>
      <c r="BV4" s="351"/>
      <c r="BW4" s="351"/>
      <c r="BX4" s="351"/>
      <c r="BY4" s="352"/>
      <c r="CA4" s="346"/>
      <c r="CC4" s="350"/>
      <c r="CD4" s="351"/>
      <c r="CE4" s="351"/>
      <c r="CF4" s="351"/>
      <c r="CG4" s="352"/>
      <c r="CI4" s="346"/>
      <c r="CK4" s="350"/>
      <c r="CL4" s="351"/>
      <c r="CM4" s="351"/>
      <c r="CN4" s="351"/>
      <c r="CO4" s="352"/>
      <c r="CQ4" s="346"/>
      <c r="CS4" s="350"/>
      <c r="CT4" s="351"/>
      <c r="CU4" s="351"/>
      <c r="CV4" s="351"/>
      <c r="CW4" s="352"/>
      <c r="CY4" s="346"/>
      <c r="DA4" s="350"/>
      <c r="DB4" s="351"/>
      <c r="DC4" s="351"/>
      <c r="DD4" s="351"/>
      <c r="DE4" s="352"/>
      <c r="DG4" s="346"/>
      <c r="DI4" s="350"/>
      <c r="DJ4" s="351"/>
      <c r="DK4" s="351"/>
      <c r="DL4" s="351"/>
      <c r="DM4" s="352"/>
      <c r="DO4" s="346"/>
      <c r="DQ4" s="350"/>
      <c r="DR4" s="351"/>
      <c r="DS4" s="351"/>
      <c r="DT4" s="351"/>
      <c r="DU4" s="352"/>
      <c r="DW4" s="369"/>
      <c r="DY4" s="350"/>
      <c r="DZ4" s="351"/>
      <c r="EA4" s="351"/>
      <c r="EB4" s="351"/>
      <c r="EC4" s="352"/>
      <c r="EE4" s="346"/>
      <c r="EG4" s="350"/>
      <c r="EH4" s="351"/>
      <c r="EI4" s="351"/>
      <c r="EJ4" s="351"/>
      <c r="EK4" s="352"/>
      <c r="EM4" s="346"/>
      <c r="EO4" s="350"/>
      <c r="EP4" s="351"/>
      <c r="EQ4" s="351"/>
      <c r="ER4" s="351"/>
      <c r="ES4" s="352"/>
      <c r="EU4" s="346"/>
      <c r="EW4" s="350"/>
      <c r="EX4" s="351"/>
      <c r="EY4" s="351"/>
      <c r="EZ4" s="351"/>
      <c r="FA4" s="352"/>
      <c r="FC4" s="369"/>
      <c r="FE4" s="350"/>
      <c r="FF4" s="351"/>
      <c r="FG4" s="351"/>
      <c r="FH4" s="351"/>
      <c r="FI4" s="352"/>
      <c r="FK4" s="346"/>
      <c r="FM4" s="350"/>
      <c r="FN4" s="351"/>
      <c r="FO4" s="351"/>
      <c r="FP4" s="351"/>
      <c r="FQ4" s="352"/>
      <c r="FS4" s="346"/>
      <c r="FU4" s="350"/>
      <c r="FV4" s="351"/>
      <c r="FW4" s="351"/>
      <c r="FX4" s="351"/>
      <c r="FY4" s="352"/>
      <c r="GA4" s="346"/>
      <c r="GC4" s="350"/>
      <c r="GD4" s="351"/>
      <c r="GE4" s="351"/>
      <c r="GF4" s="351"/>
      <c r="GG4" s="352"/>
      <c r="GI4" s="346"/>
      <c r="GK4" s="350"/>
      <c r="GL4" s="351"/>
      <c r="GM4" s="351"/>
      <c r="GN4" s="351"/>
      <c r="GO4" s="352"/>
      <c r="GQ4" s="346"/>
      <c r="GS4" s="350"/>
      <c r="GT4" s="351"/>
      <c r="GU4" s="351"/>
      <c r="GV4" s="351"/>
      <c r="GW4" s="352"/>
      <c r="GY4" s="346"/>
      <c r="HA4" s="350"/>
      <c r="HB4" s="351"/>
      <c r="HC4" s="351"/>
      <c r="HD4" s="351"/>
      <c r="HE4" s="352"/>
      <c r="HG4" s="346"/>
      <c r="HI4" s="350"/>
      <c r="HJ4" s="351"/>
      <c r="HK4" s="351"/>
      <c r="HL4" s="351"/>
      <c r="HM4" s="352"/>
      <c r="HO4" s="346"/>
      <c r="HQ4" s="350"/>
      <c r="HR4" s="351"/>
      <c r="HS4" s="351"/>
      <c r="HT4" s="351"/>
      <c r="HU4" s="352"/>
      <c r="HW4" s="346"/>
      <c r="HY4" s="350"/>
      <c r="HZ4" s="351"/>
      <c r="IA4" s="351"/>
      <c r="IB4" s="351"/>
      <c r="IC4" s="352"/>
      <c r="IE4" s="346"/>
      <c r="IG4" s="350"/>
      <c r="IH4" s="351"/>
      <c r="II4" s="351"/>
      <c r="IJ4" s="351"/>
      <c r="IK4" s="352"/>
      <c r="IM4" s="346"/>
      <c r="IO4" s="350"/>
      <c r="IP4" s="351"/>
      <c r="IQ4" s="351"/>
      <c r="IR4" s="351"/>
      <c r="IS4" s="352"/>
      <c r="IU4" s="346"/>
      <c r="IW4" s="350"/>
      <c r="IX4" s="351"/>
      <c r="IY4" s="351"/>
      <c r="IZ4" s="351"/>
      <c r="JA4" s="352"/>
      <c r="JC4" s="346"/>
      <c r="JE4" s="350"/>
      <c r="JF4" s="351"/>
      <c r="JG4" s="351"/>
      <c r="JH4" s="351"/>
      <c r="JI4" s="352"/>
      <c r="JK4" s="346"/>
      <c r="JM4" s="350"/>
      <c r="JN4" s="351"/>
      <c r="JO4" s="351"/>
      <c r="JP4" s="351"/>
      <c r="JQ4" s="352"/>
      <c r="JS4" s="346"/>
      <c r="JU4" s="350"/>
      <c r="JV4" s="351"/>
      <c r="JW4" s="351"/>
      <c r="JX4" s="351"/>
      <c r="JY4" s="352"/>
      <c r="KA4" s="346"/>
      <c r="KC4" s="350"/>
      <c r="KD4" s="351"/>
      <c r="KE4" s="351"/>
      <c r="KF4" s="351"/>
      <c r="KG4" s="352"/>
      <c r="KI4" s="346"/>
      <c r="KK4" s="350"/>
      <c r="KL4" s="351"/>
      <c r="KM4" s="351"/>
      <c r="KN4" s="351"/>
      <c r="KO4" s="352"/>
      <c r="KQ4" s="346"/>
      <c r="KS4" s="350"/>
      <c r="KT4" s="351"/>
      <c r="KU4" s="351"/>
      <c r="KV4" s="351"/>
      <c r="KW4" s="352"/>
      <c r="KY4" s="346"/>
      <c r="LA4" s="350"/>
      <c r="LB4" s="351"/>
      <c r="LC4" s="351"/>
      <c r="LD4" s="351"/>
      <c r="LE4" s="352"/>
      <c r="LG4" s="346"/>
      <c r="LI4" s="350"/>
      <c r="LJ4" s="351"/>
      <c r="LK4" s="351"/>
      <c r="LL4" s="351"/>
      <c r="LM4" s="352"/>
      <c r="LO4" s="346"/>
      <c r="LQ4" s="350"/>
      <c r="LR4" s="351"/>
      <c r="LS4" s="351"/>
      <c r="LT4" s="351"/>
      <c r="LU4" s="352"/>
      <c r="LW4" s="346"/>
      <c r="LY4" s="350"/>
      <c r="LZ4" s="351"/>
      <c r="MA4" s="351"/>
      <c r="MB4" s="351"/>
      <c r="MC4" s="352"/>
      <c r="ME4" s="346"/>
      <c r="MG4" s="350"/>
      <c r="MH4" s="351"/>
      <c r="MI4" s="351"/>
      <c r="MJ4" s="351"/>
      <c r="MK4" s="352"/>
      <c r="MM4" s="346"/>
      <c r="MO4" s="350"/>
      <c r="MP4" s="351"/>
      <c r="MQ4" s="351"/>
      <c r="MR4" s="351"/>
      <c r="MS4" s="352"/>
      <c r="MU4" s="346"/>
      <c r="MW4" s="350"/>
      <c r="MX4" s="351"/>
      <c r="MY4" s="351"/>
      <c r="MZ4" s="351"/>
      <c r="NA4" s="352"/>
      <c r="NC4" s="346"/>
      <c r="NE4" s="350"/>
      <c r="NF4" s="351"/>
      <c r="NG4" s="351"/>
      <c r="NH4" s="351"/>
      <c r="NI4" s="352"/>
      <c r="NK4" s="346"/>
      <c r="NM4" s="350"/>
      <c r="NN4" s="351"/>
      <c r="NO4" s="351"/>
      <c r="NP4" s="351"/>
      <c r="NQ4" s="352"/>
      <c r="NS4" s="346"/>
      <c r="NU4" s="350"/>
      <c r="NV4" s="351"/>
      <c r="NW4" s="351"/>
      <c r="NX4" s="351"/>
      <c r="NY4" s="352"/>
      <c r="OA4" s="346"/>
      <c r="OC4" s="350"/>
      <c r="OD4" s="351"/>
      <c r="OE4" s="351"/>
      <c r="OF4" s="351"/>
      <c r="OG4" s="352"/>
      <c r="OI4" s="346"/>
      <c r="OK4" s="350"/>
      <c r="OL4" s="351"/>
      <c r="OM4" s="351"/>
      <c r="ON4" s="351"/>
      <c r="OO4" s="352"/>
      <c r="OQ4" s="346"/>
      <c r="OS4" s="350"/>
      <c r="OT4" s="351"/>
      <c r="OU4" s="351"/>
      <c r="OV4" s="351"/>
      <c r="OW4" s="352"/>
      <c r="OY4" s="346"/>
      <c r="PA4" s="350"/>
      <c r="PB4" s="351"/>
      <c r="PC4" s="351"/>
      <c r="PD4" s="351"/>
      <c r="PE4" s="352"/>
      <c r="PG4" s="346"/>
      <c r="PI4" s="350"/>
      <c r="PJ4" s="351"/>
      <c r="PK4" s="351"/>
      <c r="PL4" s="351"/>
      <c r="PM4" s="352"/>
      <c r="PO4" s="346"/>
      <c r="PQ4" s="350"/>
      <c r="PR4" s="351"/>
      <c r="PS4" s="351"/>
      <c r="PT4" s="351"/>
      <c r="PU4" s="352"/>
      <c r="PW4" s="346"/>
      <c r="PY4" s="350"/>
      <c r="PZ4" s="351"/>
      <c r="QA4" s="351"/>
      <c r="QB4" s="351"/>
      <c r="QC4" s="352"/>
      <c r="QE4" s="346"/>
      <c r="QG4" s="350"/>
      <c r="QH4" s="351"/>
      <c r="QI4" s="351"/>
      <c r="QJ4" s="351"/>
      <c r="QK4" s="352"/>
      <c r="QM4" s="346"/>
      <c r="QO4" s="350"/>
      <c r="QP4" s="351"/>
      <c r="QQ4" s="351"/>
      <c r="QR4" s="351"/>
      <c r="QS4" s="352"/>
      <c r="QU4" s="346"/>
      <c r="QW4" s="350"/>
      <c r="QX4" s="351"/>
      <c r="QY4" s="351"/>
      <c r="QZ4" s="351"/>
      <c r="RA4" s="352"/>
      <c r="RC4" s="346"/>
      <c r="RE4" s="350"/>
      <c r="RF4" s="351"/>
      <c r="RG4" s="351"/>
      <c r="RH4" s="351"/>
      <c r="RI4" s="352"/>
      <c r="RK4" s="346"/>
      <c r="RM4" s="350"/>
      <c r="RN4" s="351"/>
      <c r="RO4" s="351"/>
      <c r="RP4" s="351"/>
      <c r="RQ4" s="352"/>
      <c r="RS4" s="346"/>
      <c r="RU4" s="350"/>
      <c r="RV4" s="351"/>
      <c r="RW4" s="351"/>
      <c r="RX4" s="351"/>
      <c r="RY4" s="352"/>
      <c r="SA4" s="346"/>
      <c r="SC4" s="350"/>
      <c r="SD4" s="351"/>
      <c r="SE4" s="351"/>
      <c r="SF4" s="351"/>
      <c r="SG4" s="352"/>
      <c r="SI4" s="346"/>
      <c r="SK4" s="350"/>
      <c r="SL4" s="351"/>
      <c r="SM4" s="351"/>
      <c r="SN4" s="351"/>
      <c r="SO4" s="352"/>
      <c r="SQ4" s="346"/>
      <c r="SS4" s="350"/>
      <c r="ST4" s="351"/>
      <c r="SU4" s="351"/>
      <c r="SV4" s="351"/>
      <c r="SW4" s="352"/>
      <c r="SY4" s="346"/>
      <c r="TA4" s="350"/>
      <c r="TB4" s="351"/>
      <c r="TC4" s="351"/>
      <c r="TD4" s="351"/>
      <c r="TE4" s="352"/>
      <c r="TG4" s="346"/>
      <c r="TI4" s="350"/>
      <c r="TJ4" s="351"/>
      <c r="TK4" s="351"/>
      <c r="TL4" s="351"/>
      <c r="TM4" s="352"/>
      <c r="TO4" s="346"/>
      <c r="TQ4" s="350"/>
      <c r="TR4" s="351"/>
      <c r="TS4" s="351"/>
      <c r="TT4" s="351"/>
      <c r="TU4" s="352"/>
      <c r="TW4" s="346"/>
      <c r="TY4" s="350"/>
      <c r="TZ4" s="351"/>
      <c r="UA4" s="351"/>
      <c r="UB4" s="351"/>
      <c r="UC4" s="352"/>
      <c r="UE4" s="346"/>
      <c r="UG4" s="350"/>
      <c r="UH4" s="351"/>
      <c r="UI4" s="351"/>
      <c r="UJ4" s="351"/>
      <c r="UK4" s="352"/>
      <c r="UM4" s="346"/>
      <c r="UO4" s="350"/>
      <c r="UP4" s="351"/>
      <c r="UQ4" s="351"/>
      <c r="UR4" s="351"/>
      <c r="US4" s="352"/>
      <c r="UU4" s="346"/>
      <c r="UW4" s="350"/>
      <c r="UX4" s="351"/>
      <c r="UY4" s="351"/>
      <c r="UZ4" s="351"/>
      <c r="VA4" s="352"/>
      <c r="VC4" s="346"/>
      <c r="VE4" s="350"/>
      <c r="VF4" s="351"/>
      <c r="VG4" s="351"/>
      <c r="VH4" s="351"/>
      <c r="VI4" s="352"/>
      <c r="VK4" s="346"/>
      <c r="VM4" s="350"/>
      <c r="VN4" s="351"/>
      <c r="VO4" s="351"/>
      <c r="VP4" s="351"/>
      <c r="VQ4" s="352"/>
      <c r="VS4" s="346"/>
    </row>
    <row r="5" spans="3:591" ht="13.5" thickBot="1" x14ac:dyDescent="0.45">
      <c r="O5" s="346"/>
      <c r="AC5" s="346"/>
      <c r="AH5" s="366"/>
      <c r="AK5" s="358"/>
      <c r="AL5" s="359"/>
      <c r="AM5" s="359"/>
      <c r="AN5" s="359"/>
      <c r="AO5" s="359"/>
      <c r="AP5" s="359"/>
      <c r="AQ5" s="359"/>
      <c r="AR5" s="359"/>
      <c r="AS5" s="359"/>
      <c r="AT5" s="359"/>
      <c r="AU5" s="359"/>
      <c r="AV5" s="359"/>
      <c r="AW5" s="359"/>
      <c r="AX5" s="359"/>
      <c r="AY5" s="361"/>
      <c r="AZ5" s="11"/>
      <c r="BA5" s="11"/>
      <c r="BB5" s="11"/>
      <c r="BC5" s="11"/>
      <c r="BD5" s="11"/>
      <c r="BE5" s="11"/>
      <c r="BF5" s="11"/>
      <c r="BG5" s="11"/>
      <c r="BH5" s="11"/>
      <c r="BI5" s="11"/>
      <c r="BJ5" s="11"/>
      <c r="BK5" s="366"/>
      <c r="BS5" s="346"/>
      <c r="CA5" s="346"/>
      <c r="CI5" s="346"/>
      <c r="CQ5" s="346"/>
      <c r="CY5" s="346"/>
      <c r="DG5" s="346"/>
      <c r="DO5" s="346"/>
      <c r="DW5" s="369"/>
      <c r="EE5" s="346"/>
      <c r="EM5" s="346"/>
      <c r="EU5" s="346"/>
      <c r="FC5" s="369"/>
      <c r="FK5" s="346"/>
      <c r="FS5" s="346"/>
      <c r="GA5" s="346"/>
      <c r="GI5" s="346"/>
      <c r="GQ5" s="346"/>
      <c r="GY5" s="346"/>
      <c r="HG5" s="346"/>
      <c r="HO5" s="346"/>
      <c r="HW5" s="346"/>
      <c r="IE5" s="346"/>
      <c r="IM5" s="346"/>
      <c r="IU5" s="346"/>
      <c r="JC5" s="346"/>
      <c r="JK5" s="346"/>
      <c r="JS5" s="346"/>
      <c r="KA5" s="346"/>
      <c r="KI5" s="346"/>
      <c r="KQ5" s="346"/>
      <c r="KY5" s="346"/>
      <c r="LG5" s="346"/>
      <c r="LO5" s="346"/>
      <c r="LW5" s="346"/>
      <c r="ME5" s="346"/>
      <c r="MM5" s="346"/>
      <c r="MU5" s="346"/>
      <c r="NC5" s="346"/>
      <c r="NK5" s="346"/>
      <c r="NS5" s="346"/>
      <c r="OA5" s="346"/>
      <c r="OI5" s="346"/>
      <c r="OQ5" s="346"/>
      <c r="OY5" s="346"/>
      <c r="PG5" s="346"/>
      <c r="PO5" s="346"/>
      <c r="PW5" s="346"/>
      <c r="QE5" s="346"/>
      <c r="QM5" s="346"/>
      <c r="QU5" s="346"/>
      <c r="RC5" s="346"/>
      <c r="RK5" s="346"/>
      <c r="RS5" s="346"/>
      <c r="SA5" s="346"/>
      <c r="SI5" s="346"/>
      <c r="SQ5" s="346"/>
      <c r="SY5" s="346"/>
      <c r="TG5" s="346"/>
      <c r="TO5" s="346"/>
      <c r="TW5" s="346"/>
      <c r="UE5" s="346"/>
      <c r="UM5" s="346"/>
      <c r="UU5" s="346"/>
      <c r="VC5" s="346"/>
      <c r="VK5" s="346"/>
      <c r="VS5" s="346"/>
    </row>
    <row r="6" spans="3:591" ht="13.5" thickBot="1" x14ac:dyDescent="0.45">
      <c r="C6" s="16" t="s">
        <v>470</v>
      </c>
      <c r="D6" s="17" t="s">
        <v>471</v>
      </c>
      <c r="E6" s="18"/>
      <c r="F6" s="16" t="s">
        <v>42</v>
      </c>
      <c r="G6" s="17" t="s">
        <v>43</v>
      </c>
      <c r="H6" s="17" t="s">
        <v>44</v>
      </c>
      <c r="I6" s="1"/>
      <c r="J6" s="1"/>
      <c r="K6" s="1"/>
      <c r="L6" s="1"/>
      <c r="M6" s="1"/>
      <c r="O6" s="346"/>
      <c r="Q6" s="16" t="s">
        <v>470</v>
      </c>
      <c r="R6" s="17" t="s">
        <v>472</v>
      </c>
      <c r="S6" s="18"/>
      <c r="T6" s="16" t="s">
        <v>42</v>
      </c>
      <c r="U6" s="17" t="s">
        <v>43</v>
      </c>
      <c r="V6" s="17" t="s">
        <v>44</v>
      </c>
      <c r="W6" s="1"/>
      <c r="X6" s="1"/>
      <c r="Y6" s="1"/>
      <c r="Z6" s="1"/>
      <c r="AA6" s="1"/>
      <c r="AC6" s="346"/>
      <c r="AE6" s="32" t="s">
        <v>484</v>
      </c>
      <c r="AF6" s="32" t="s">
        <v>485</v>
      </c>
      <c r="AG6" s="1"/>
      <c r="AH6" s="366"/>
      <c r="AZ6" s="11"/>
      <c r="BA6" s="11"/>
      <c r="BB6" s="11"/>
      <c r="BC6" s="11"/>
      <c r="BD6" s="11"/>
      <c r="BE6" s="11"/>
      <c r="BF6" s="11"/>
      <c r="BG6" s="11"/>
      <c r="BH6" s="11"/>
      <c r="BI6" s="11"/>
      <c r="BJ6" s="11"/>
      <c r="BK6" s="366"/>
      <c r="BS6" s="346"/>
      <c r="CA6" s="346"/>
      <c r="CI6" s="346"/>
      <c r="CQ6" s="346"/>
      <c r="CY6" s="346"/>
      <c r="DG6" s="346"/>
      <c r="DO6" s="346"/>
      <c r="DW6" s="369"/>
      <c r="EE6" s="346"/>
      <c r="EM6" s="346"/>
      <c r="EU6" s="346"/>
      <c r="FC6" s="369"/>
      <c r="FK6" s="346"/>
      <c r="FS6" s="346"/>
      <c r="GA6" s="346"/>
      <c r="GI6" s="346"/>
      <c r="GQ6" s="346"/>
      <c r="GY6" s="346"/>
      <c r="HG6" s="346"/>
      <c r="HO6" s="346"/>
      <c r="HW6" s="346"/>
      <c r="IE6" s="346"/>
      <c r="IM6" s="346"/>
      <c r="IU6" s="346"/>
      <c r="JC6" s="346"/>
      <c r="JK6" s="346"/>
      <c r="JS6" s="346"/>
      <c r="KA6" s="346"/>
      <c r="KI6" s="346"/>
      <c r="KQ6" s="346"/>
      <c r="KY6" s="346"/>
      <c r="LG6" s="346"/>
      <c r="LO6" s="346"/>
      <c r="LW6" s="346"/>
      <c r="ME6" s="346"/>
      <c r="MM6" s="346"/>
      <c r="MU6" s="346"/>
      <c r="NC6" s="346"/>
      <c r="NK6" s="346"/>
      <c r="NS6" s="346"/>
      <c r="OA6" s="346"/>
      <c r="OI6" s="346"/>
      <c r="OQ6" s="346"/>
      <c r="OY6" s="346"/>
      <c r="PG6" s="346"/>
      <c r="PO6" s="346"/>
      <c r="PW6" s="346"/>
      <c r="QE6" s="346"/>
      <c r="QM6" s="346"/>
      <c r="QU6" s="346"/>
      <c r="RC6" s="346"/>
      <c r="RK6" s="346"/>
      <c r="RS6" s="346"/>
      <c r="SA6" s="346"/>
      <c r="SI6" s="346"/>
      <c r="SQ6" s="346"/>
      <c r="SY6" s="346"/>
      <c r="TG6" s="346"/>
      <c r="TO6" s="346"/>
      <c r="TW6" s="346"/>
      <c r="UE6" s="346"/>
      <c r="UM6" s="346"/>
      <c r="UU6" s="346"/>
      <c r="VC6" s="346"/>
      <c r="VK6" s="346"/>
      <c r="VS6" s="346"/>
    </row>
    <row r="7" spans="3:591" ht="13.5" thickBot="1" x14ac:dyDescent="0.45">
      <c r="C7" s="19" t="s">
        <v>23</v>
      </c>
      <c r="D7" s="20" t="s">
        <v>136</v>
      </c>
      <c r="E7" s="1"/>
      <c r="F7" s="19" t="s">
        <v>46</v>
      </c>
      <c r="G7" s="20" t="s">
        <v>77</v>
      </c>
      <c r="H7" s="20" t="s">
        <v>108</v>
      </c>
      <c r="I7" s="1"/>
      <c r="J7" s="1"/>
      <c r="K7" s="1"/>
      <c r="L7" s="1"/>
      <c r="M7" s="1"/>
      <c r="O7" s="346"/>
      <c r="Q7" s="19" t="s">
        <v>23</v>
      </c>
      <c r="R7" s="6" t="s">
        <v>137</v>
      </c>
      <c r="S7" s="1"/>
      <c r="T7" s="19" t="s">
        <v>46</v>
      </c>
      <c r="U7" s="20" t="s">
        <v>77</v>
      </c>
      <c r="V7" s="20" t="s">
        <v>108</v>
      </c>
      <c r="W7" s="1"/>
      <c r="X7" s="1"/>
      <c r="Y7" s="1"/>
      <c r="Z7" s="1"/>
      <c r="AA7" s="1"/>
      <c r="AC7" s="346"/>
      <c r="AE7" s="28" t="str" cm="1">
        <f t="array" aca="1" ref="AE7:AE72" ca="1">_xlfn._xlws.FILTER(_xlfn.TOCOL('Correlations Tables'!CR13:ES14),_xlfn.TOCOL('Correlations Tables'!CR13:ES14)&lt;&gt;"")</f>
        <v>MERCEDEZ GLE 53 Rear Axle LINE 2</v>
      </c>
      <c r="AF7" s="29">
        <f ca="1">IF(AE7="","",COUNTIF(1:1,AE7))</f>
        <v>1</v>
      </c>
      <c r="AG7" s="1"/>
      <c r="AH7" s="366"/>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366"/>
      <c r="BO7" s="14" t="s">
        <v>32</v>
      </c>
      <c r="BS7" s="346"/>
      <c r="BW7" s="14" t="s">
        <v>32</v>
      </c>
      <c r="CA7" s="346"/>
      <c r="CE7" s="14" t="s">
        <v>32</v>
      </c>
      <c r="CI7" s="346"/>
      <c r="CK7"/>
      <c r="CM7" s="14" t="s">
        <v>32</v>
      </c>
      <c r="CQ7" s="346"/>
      <c r="CS7"/>
      <c r="CU7" s="14" t="s">
        <v>32</v>
      </c>
      <c r="CY7" s="346"/>
      <c r="DA7"/>
      <c r="DC7" s="14" t="s">
        <v>32</v>
      </c>
      <c r="DG7" s="346"/>
      <c r="DI7"/>
      <c r="DK7" s="14" t="s">
        <v>32</v>
      </c>
      <c r="DO7" s="346"/>
      <c r="DQ7" s="161" t="s">
        <v>530</v>
      </c>
      <c r="DS7" s="14" t="s">
        <v>32</v>
      </c>
      <c r="DW7" s="369"/>
      <c r="DY7"/>
      <c r="EA7" s="14" t="s">
        <v>32</v>
      </c>
      <c r="EE7" s="346"/>
      <c r="EG7"/>
      <c r="EI7" s="14" t="s">
        <v>32</v>
      </c>
      <c r="EM7" s="346"/>
      <c r="EO7"/>
      <c r="EQ7" s="14" t="s">
        <v>32</v>
      </c>
      <c r="EU7" s="346"/>
      <c r="EW7"/>
      <c r="EY7" s="14" t="s">
        <v>32</v>
      </c>
      <c r="FC7" s="369"/>
      <c r="FE7"/>
      <c r="FG7" s="14" t="s">
        <v>32</v>
      </c>
      <c r="FK7" s="346"/>
      <c r="FM7"/>
      <c r="FO7" s="14" t="s">
        <v>32</v>
      </c>
      <c r="FS7" s="346"/>
      <c r="FU7"/>
      <c r="FW7" s="14" t="s">
        <v>32</v>
      </c>
      <c r="GA7" s="346"/>
      <c r="GC7"/>
      <c r="GE7" s="14" t="s">
        <v>32</v>
      </c>
      <c r="GI7" s="346"/>
      <c r="GK7"/>
      <c r="GM7" s="14" t="s">
        <v>32</v>
      </c>
      <c r="GQ7" s="346"/>
      <c r="GS7"/>
      <c r="GU7" s="14" t="s">
        <v>32</v>
      </c>
      <c r="GY7" s="346"/>
      <c r="HA7"/>
      <c r="HC7" s="14" t="s">
        <v>32</v>
      </c>
      <c r="HG7" s="346"/>
      <c r="HI7"/>
      <c r="HK7" s="14" t="s">
        <v>32</v>
      </c>
      <c r="HO7" s="346"/>
      <c r="HQ7"/>
      <c r="HS7" s="14" t="s">
        <v>32</v>
      </c>
      <c r="HW7" s="346"/>
      <c r="HY7"/>
      <c r="IA7" s="14" t="s">
        <v>32</v>
      </c>
      <c r="IE7" s="346"/>
      <c r="IG7"/>
      <c r="II7" s="14" t="s">
        <v>32</v>
      </c>
      <c r="IM7" s="346"/>
      <c r="IO7"/>
      <c r="IQ7" s="14" t="s">
        <v>32</v>
      </c>
      <c r="IU7" s="346"/>
      <c r="IW7"/>
      <c r="IY7" s="14" t="s">
        <v>32</v>
      </c>
      <c r="JC7" s="346"/>
      <c r="JE7"/>
      <c r="JG7" s="14" t="s">
        <v>32</v>
      </c>
      <c r="JK7" s="346"/>
      <c r="JM7"/>
      <c r="JO7" s="14" t="s">
        <v>32</v>
      </c>
      <c r="JS7" s="346"/>
      <c r="JU7"/>
      <c r="JW7" s="14" t="s">
        <v>32</v>
      </c>
      <c r="KA7" s="346"/>
      <c r="KC7"/>
      <c r="KE7" s="14" t="s">
        <v>32</v>
      </c>
      <c r="KI7" s="346"/>
      <c r="KK7"/>
      <c r="KM7" s="14" t="s">
        <v>32</v>
      </c>
      <c r="KQ7" s="346"/>
      <c r="KS7"/>
      <c r="KU7" s="14" t="s">
        <v>32</v>
      </c>
      <c r="KY7" s="346"/>
      <c r="LA7"/>
      <c r="LC7" s="14" t="s">
        <v>32</v>
      </c>
      <c r="LG7" s="346"/>
      <c r="LI7"/>
      <c r="LK7" s="14" t="s">
        <v>32</v>
      </c>
      <c r="LO7" s="346"/>
      <c r="LQ7"/>
      <c r="LS7" s="14" t="s">
        <v>32</v>
      </c>
      <c r="LW7" s="346"/>
      <c r="LY7"/>
      <c r="MA7" s="14" t="s">
        <v>32</v>
      </c>
      <c r="ME7" s="346"/>
      <c r="MG7"/>
      <c r="MI7" s="14" t="s">
        <v>32</v>
      </c>
      <c r="MM7" s="346"/>
      <c r="MO7"/>
      <c r="MQ7" s="14" t="s">
        <v>32</v>
      </c>
      <c r="MU7" s="346"/>
      <c r="MW7"/>
      <c r="MY7" s="14" t="s">
        <v>32</v>
      </c>
      <c r="NC7" s="346"/>
      <c r="NE7"/>
      <c r="NG7" s="14" t="s">
        <v>32</v>
      </c>
      <c r="NK7" s="346"/>
      <c r="NM7"/>
      <c r="NO7" s="14" t="s">
        <v>32</v>
      </c>
      <c r="NS7" s="346"/>
      <c r="NU7"/>
      <c r="NW7" s="14" t="s">
        <v>32</v>
      </c>
      <c r="OA7" s="346"/>
      <c r="OC7"/>
      <c r="OE7" s="14" t="s">
        <v>32</v>
      </c>
      <c r="OI7" s="346"/>
      <c r="OK7"/>
      <c r="OM7" s="14" t="s">
        <v>32</v>
      </c>
      <c r="OQ7" s="346"/>
      <c r="OS7"/>
      <c r="OU7" s="14" t="s">
        <v>32</v>
      </c>
      <c r="OY7" s="346"/>
      <c r="PA7"/>
      <c r="PC7" s="14" t="s">
        <v>32</v>
      </c>
      <c r="PG7" s="346"/>
      <c r="PI7"/>
      <c r="PK7" s="14" t="s">
        <v>32</v>
      </c>
      <c r="PO7" s="346"/>
      <c r="PQ7"/>
      <c r="PS7" s="14" t="s">
        <v>32</v>
      </c>
      <c r="PW7" s="346"/>
      <c r="PY7"/>
      <c r="QA7" s="14" t="s">
        <v>32</v>
      </c>
      <c r="QE7" s="346"/>
      <c r="QG7"/>
      <c r="QI7" s="14" t="s">
        <v>32</v>
      </c>
      <c r="QM7" s="346"/>
      <c r="QO7"/>
      <c r="QQ7" s="14" t="s">
        <v>32</v>
      </c>
      <c r="QU7" s="346"/>
      <c r="QW7"/>
      <c r="QY7" s="14" t="s">
        <v>32</v>
      </c>
      <c r="RC7" s="346"/>
      <c r="RE7"/>
      <c r="RG7" s="14" t="s">
        <v>32</v>
      </c>
      <c r="RK7" s="346"/>
      <c r="RM7"/>
      <c r="RO7" s="14" t="s">
        <v>32</v>
      </c>
      <c r="RS7" s="346"/>
      <c r="RU7"/>
      <c r="RW7" s="14" t="s">
        <v>32</v>
      </c>
      <c r="SA7" s="346"/>
      <c r="SC7"/>
      <c r="SE7" s="14" t="s">
        <v>32</v>
      </c>
      <c r="SI7" s="346"/>
      <c r="SK7"/>
      <c r="SM7" s="14" t="s">
        <v>32</v>
      </c>
      <c r="SQ7" s="346"/>
      <c r="SS7"/>
      <c r="SU7" s="14" t="s">
        <v>32</v>
      </c>
      <c r="SY7" s="346"/>
      <c r="TA7"/>
      <c r="TC7" s="14" t="s">
        <v>32</v>
      </c>
      <c r="TG7" s="346"/>
      <c r="TI7"/>
      <c r="TK7" s="14" t="s">
        <v>32</v>
      </c>
      <c r="TO7" s="346"/>
      <c r="TQ7"/>
      <c r="TS7" s="14" t="s">
        <v>32</v>
      </c>
      <c r="TW7" s="346"/>
      <c r="TY7"/>
      <c r="UA7" s="14" t="s">
        <v>32</v>
      </c>
      <c r="UE7" s="346"/>
      <c r="UG7"/>
      <c r="UI7" s="14" t="s">
        <v>32</v>
      </c>
      <c r="UM7" s="346"/>
      <c r="UO7"/>
      <c r="UQ7" s="14" t="s">
        <v>32</v>
      </c>
      <c r="UU7" s="346"/>
      <c r="UW7"/>
      <c r="UY7" s="14" t="s">
        <v>32</v>
      </c>
      <c r="VC7" s="346"/>
      <c r="VE7"/>
      <c r="VG7" s="14" t="s">
        <v>32</v>
      </c>
      <c r="VK7" s="346"/>
      <c r="VM7"/>
      <c r="VO7" s="14" t="s">
        <v>32</v>
      </c>
      <c r="VS7" s="346"/>
    </row>
    <row r="8" spans="3:591" x14ac:dyDescent="0.4">
      <c r="C8" s="21" t="s">
        <v>24</v>
      </c>
      <c r="D8" s="6" t="s">
        <v>139</v>
      </c>
      <c r="E8" s="1"/>
      <c r="F8" s="19" t="s">
        <v>47</v>
      </c>
      <c r="G8" s="20" t="s">
        <v>78</v>
      </c>
      <c r="H8" s="20" t="s">
        <v>109</v>
      </c>
      <c r="I8" s="1"/>
      <c r="J8" s="1"/>
      <c r="K8" s="1"/>
      <c r="L8" s="1"/>
      <c r="M8" s="1"/>
      <c r="O8" s="346"/>
      <c r="Q8" s="21" t="s">
        <v>24</v>
      </c>
      <c r="R8" s="6" t="s">
        <v>140</v>
      </c>
      <c r="S8" s="1"/>
      <c r="T8" s="19" t="s">
        <v>47</v>
      </c>
      <c r="U8" s="20" t="s">
        <v>78</v>
      </c>
      <c r="V8" s="20" t="s">
        <v>109</v>
      </c>
      <c r="W8" s="1"/>
      <c r="X8" s="1"/>
      <c r="Y8" s="1"/>
      <c r="Z8" s="1"/>
      <c r="AA8" s="1"/>
      <c r="AC8" s="346"/>
      <c r="AE8" s="30" t="str">
        <f ca="1"/>
        <v>MERCEDEZ GLE 580 Rear Axle LINE 2</v>
      </c>
      <c r="AF8" s="31">
        <f t="shared" ref="AF8:AF39" ca="1" si="0">IF(AE8="","",COUNTIF($1:$1,AE8))</f>
        <v>1</v>
      </c>
      <c r="AG8" s="1"/>
      <c r="AH8" s="366"/>
      <c r="AJ8" s="11"/>
      <c r="AK8" s="88" t="s">
        <v>265</v>
      </c>
      <c r="AL8" s="11"/>
      <c r="AM8" s="356" t="s">
        <v>487</v>
      </c>
      <c r="AN8" s="357"/>
      <c r="AO8" s="357"/>
      <c r="AP8" s="357"/>
      <c r="AQ8" s="357"/>
      <c r="AR8" s="357"/>
      <c r="AS8" s="357"/>
      <c r="AT8" s="357"/>
      <c r="AU8" s="357"/>
      <c r="AV8" s="357"/>
      <c r="AW8" s="357"/>
      <c r="AX8" s="357"/>
      <c r="AY8" s="357"/>
      <c r="AZ8" s="11"/>
      <c r="BA8" s="11"/>
      <c r="BB8" s="11"/>
      <c r="BC8" s="11"/>
      <c r="BD8" s="11"/>
      <c r="BE8" s="11"/>
      <c r="BF8" s="11"/>
      <c r="BG8" s="11"/>
      <c r="BH8" s="11"/>
      <c r="BI8" s="11"/>
      <c r="BJ8" s="11"/>
      <c r="BK8" s="366"/>
      <c r="BO8" s="15" t="str" cm="1">
        <f t="array" aca="1" ref="BO8:BO13" ca="1">_xlfn.LET(
     _xlpm.peca_sem_linha,
     IFERROR(TRIM(LEFT(BS1, MIN(IFERROR( SEARCH("LINE",BS1),100))-1)),BS1),
     _xlpm.listagem_versoes,
     _xlfn.XLOOKUP(_xlpm.peca_sem_linha,_xlfn.ANCHORARRAY('Correlations Tables'!$CR$18),INDIRECT("'Correlations Tables'!" &amp; "$CR$19:$" &amp; SUBSTITUTE(ADDRESS(1,COLUMNS(TRANSPOSE(tbl_products_lines[])) + 95,4),1,"") &amp; "$26"),"-"),
     _xlfn._xlws.FILTER(_xlpm.listagem_versoes,_xlpm.listagem_versoes&lt;&gt;0)
)</f>
        <v>A</v>
      </c>
      <c r="BS8" s="346"/>
      <c r="BW8" s="15" t="str" cm="1">
        <f t="array" aca="1" ref="BW8:BW13" ca="1">_xlfn.LET(
     _xlpm.peca_sem_linha,
     IFERROR(TRIM(LEFT(CA1, MIN(IFERROR( SEARCH("LINE",CA1),100))-1)),CA1),
     _xlpm.listagem_versoes,
     _xlfn.XLOOKUP(_xlpm.peca_sem_linha,_xlfn.ANCHORARRAY('Correlations Tables'!$CR$18),INDIRECT("'Correlations Tables'!" &amp; "$CR$19:$" &amp; SUBSTITUTE(ADDRESS(1,COLUMNS(TRANSPOSE(tbl_products_lines[])) + 95,4),1,"") &amp; "$26"),"-"),
     _xlfn._xlws.FILTER(_xlpm.listagem_versoes,_xlpm.listagem_versoes&lt;&gt;0)
)</f>
        <v>A</v>
      </c>
      <c r="CA8" s="346"/>
      <c r="CE8" s="15" t="str" cm="1">
        <f t="array" aca="1" ref="CE8:CE10" ca="1">_xlfn.LET(
     _xlpm.peca_sem_linha,
     IFERROR(TRIM(LEFT(CI1, MIN(IFERROR( SEARCH("LINE",CI1),100))-1)),CI1),
     _xlpm.listagem_versoes,
     _xlfn.XLOOKUP(_xlpm.peca_sem_linha,_xlfn.ANCHORARRAY('Correlations Tables'!$CR$18),INDIRECT("'Correlations Tables'!" &amp; "$CR$19:$" &amp; SUBSTITUTE(ADDRESS(1,COLUMNS(TRANSPOSE(tbl_products_lines[])) + 95,4),1,"") &amp; "$26"),"-"),
     _xlfn._xlws.FILTER(_xlpm.listagem_versoes,_xlpm.listagem_versoes&lt;&gt;0)
)</f>
        <v>D</v>
      </c>
      <c r="CI8" s="346"/>
      <c r="CK8"/>
      <c r="CM8" s="15" t="str" cm="1">
        <f t="array" aca="1" ref="CM8:CM13" ca="1">_xlfn.LET(
     _xlpm.peca_sem_linha,
     IFERROR(TRIM(LEFT(CQ1, MIN(IFERROR( SEARCH("LINE",CQ1),100))-1)),CQ1),
     _xlpm.listagem_versoes,
     _xlfn.XLOOKUP(_xlpm.peca_sem_linha,_xlfn.ANCHORARRAY('Correlations Tables'!$CR$18),INDIRECT("'Correlations Tables'!" &amp; "$CR$19:$" &amp; SUBSTITUTE(ADDRESS(1,COLUMNS(TRANSPOSE(tbl_products_lines[])) + 95,4),1,"") &amp; "$26"),"-"),
     _xlfn._xlws.FILTER(_xlpm.listagem_versoes,_xlpm.listagem_versoes&lt;&gt;0)
)</f>
        <v>A</v>
      </c>
      <c r="CQ8" s="346"/>
      <c r="CS8"/>
      <c r="CU8" s="15" t="str" cm="1">
        <f t="array" aca="1" ref="CU8:CU13" ca="1">_xlfn.LET(
     _xlpm.peca_sem_linha,
     IFERROR(TRIM(LEFT(CY1, MIN(IFERROR( SEARCH("LINE",CY1),100))-1)),CY1),
     _xlpm.listagem_versoes,
     _xlfn.XLOOKUP(_xlpm.peca_sem_linha,_xlfn.ANCHORARRAY('Correlations Tables'!$CR$18),INDIRECT("'Correlations Tables'!" &amp; "$CR$19:$" &amp; SUBSTITUTE(ADDRESS(1,COLUMNS(TRANSPOSE(tbl_products_lines[])) + 95,4),1,"") &amp; "$26"),"-"),
     _xlfn._xlws.FILTER(_xlpm.listagem_versoes,_xlpm.listagem_versoes&lt;&gt;0)
)</f>
        <v>A</v>
      </c>
      <c r="CY8" s="346"/>
      <c r="DA8"/>
      <c r="DC8" s="15" t="str" cm="1">
        <f t="array" aca="1" ref="DC8:DC10" ca="1">_xlfn.LET(
     _xlpm.peca_sem_linha,
     IFERROR(TRIM(LEFT(DG1, MIN(IFERROR( SEARCH("LINE",DG1),100))-1)),DG1),
     _xlpm.listagem_versoes,
     _xlfn.XLOOKUP(_xlpm.peca_sem_linha,_xlfn.ANCHORARRAY('Correlations Tables'!$CR$18),INDIRECT("'Correlations Tables'!" &amp; "$CR$19:$" &amp; SUBSTITUTE(ADDRESS(1,COLUMNS(TRANSPOSE(tbl_products_lines[])) + 95,4),1,"") &amp; "$26"),"-"),
     _xlfn._xlws.FILTER(_xlpm.listagem_versoes,_xlpm.listagem_versoes&lt;&gt;0)
)</f>
        <v>D</v>
      </c>
      <c r="DG8" s="346"/>
      <c r="DI8"/>
      <c r="DK8" s="15" t="str" cm="1">
        <f t="array" aca="1" ref="DK8:DK13" ca="1">_xlfn.LET(
     _xlpm.peca_sem_linha,
     IFERROR(TRIM(LEFT(DO1, MIN(IFERROR( SEARCH("LINE",DO1),100))-1)),DO1),
     _xlpm.listagem_versoes,
     _xlfn.XLOOKUP(_xlpm.peca_sem_linha,_xlfn.ANCHORARRAY('Correlations Tables'!$CR$18),INDIRECT("'Correlations Tables'!" &amp; "$CR$19:$" &amp; SUBSTITUTE(ADDRESS(1,COLUMNS(TRANSPOSE(tbl_products_lines[])) + 95,4),1,"") &amp; "$26"),"-"),
     _xlfn._xlws.FILTER(_xlpm.listagem_versoes,_xlpm.listagem_versoes&lt;&gt;0)
)</f>
        <v>A</v>
      </c>
      <c r="DO8" s="346"/>
      <c r="DQ8" s="158" t="s">
        <v>382</v>
      </c>
      <c r="DS8" s="15" t="str" cm="1">
        <f t="array" aca="1" ref="DS8:DS13" ca="1">_xlfn.LET(
     _xlpm.peca_sem_linha,
     IFERROR(TRIM(LEFT(DW1, MIN(IFERROR( SEARCH("LINE",DW1),100))-1)),DW1),
     _xlpm.listagem_versoes,
     _xlfn.XLOOKUP(_xlpm.peca_sem_linha,_xlfn.ANCHORARRAY('Correlations Tables'!$CR$18),INDIRECT("'Correlations Tables'!" &amp; "$CR$19:$" &amp; SUBSTITUTE(ADDRESS(1,COLUMNS(TRANSPOSE(tbl_products_lines[])) + 95,4),1,"") &amp; "$26"),"-"),
     _xlfn._xlws.FILTER(_xlpm.listagem_versoes,_xlpm.listagem_versoes&lt;&gt;0)
)</f>
        <v>A</v>
      </c>
      <c r="DW8" s="369"/>
      <c r="DY8"/>
      <c r="EA8" s="15" t="str" cm="1">
        <f t="array" aca="1" ref="EA8:EA10" ca="1">_xlfn.LET(
     _xlpm.peca_sem_linha,
     IFERROR(TRIM(LEFT(EE1, MIN(IFERROR( SEARCH("LINE",EE1),100))-1)),EE1),
     _xlpm.listagem_versoes,
     _xlfn.XLOOKUP(_xlpm.peca_sem_linha,_xlfn.ANCHORARRAY('Correlations Tables'!$CR$18),INDIRECT("'Correlations Tables'!" &amp; "$CR$19:$" &amp; SUBSTITUTE(ADDRESS(1,COLUMNS(TRANSPOSE(tbl_products_lines[])) + 95,4),1,"") &amp; "$26"),"-"),
     _xlfn._xlws.FILTER(_xlpm.listagem_versoes,_xlpm.listagem_versoes&lt;&gt;0)
)</f>
        <v>D</v>
      </c>
      <c r="EE8" s="346"/>
      <c r="EG8"/>
      <c r="EI8" s="15" t="str" cm="1">
        <f t="array" aca="1" ref="EI8:EI9" ca="1">_xlfn.LET(
     _xlpm.peca_sem_linha,
     IFERROR(TRIM(LEFT(EM1, MIN(IFERROR( SEARCH("LINE",EM1),100))-1)),EM1),
     _xlpm.listagem_versoes,
     _xlfn.XLOOKUP(_xlpm.peca_sem_linha,_xlfn.ANCHORARRAY('Correlations Tables'!$CR$18),INDIRECT("'Correlations Tables'!" &amp; "$CR$19:$" &amp; SUBSTITUTE(ADDRESS(1,COLUMNS(TRANSPOSE(tbl_products_lines[])) + 95,4),1,"") &amp; "$26"),"-"),
     _xlfn._xlws.FILTER(_xlpm.listagem_versoes,_xlpm.listagem_versoes&lt;&gt;0)
)</f>
        <v>E</v>
      </c>
      <c r="EM8" s="346"/>
      <c r="EO8"/>
      <c r="EQ8" s="15" t="str" cm="1">
        <f t="array" aca="1" ref="EQ8:EQ11" ca="1">_xlfn.LET(
     _xlpm.peca_sem_linha,
     IFERROR(TRIM(LEFT(EU1, MIN(IFERROR( SEARCH("LINE",EU1),100))-1)),EU1),
     _xlpm.listagem_versoes,
     _xlfn.XLOOKUP(_xlpm.peca_sem_linha,_xlfn.ANCHORARRAY('Correlations Tables'!$CR$18),INDIRECT("'Correlations Tables'!" &amp; "$CR$19:$" &amp; SUBSTITUTE(ADDRESS(1,COLUMNS(TRANSPOSE(tbl_products_lines[])) + 95,4),1,"") &amp; "$26"),"-"),
     _xlfn._xlws.FILTER(_xlpm.listagem_versoes,_xlpm.listagem_versoes&lt;&gt;0)
)</f>
        <v>C</v>
      </c>
      <c r="EU8" s="346"/>
      <c r="EW8"/>
      <c r="EY8" s="15" t="str" cm="1">
        <f t="array" aca="1" ref="EY8:EY10" ca="1">_xlfn.LET(
     _xlpm.peca_sem_linha,
     IFERROR(TRIM(LEFT(FC1, MIN(IFERROR( SEARCH("LINE",FC1),100))-1)),FC1),
     _xlpm.listagem_versoes,
     _xlfn.XLOOKUP(_xlpm.peca_sem_linha,_xlfn.ANCHORARRAY('Correlations Tables'!$CR$18),INDIRECT("'Correlations Tables'!" &amp; "$CR$19:$" &amp; SUBSTITUTE(ADDRESS(1,COLUMNS(TRANSPOSE(tbl_products_lines[])) + 95,4),1,"") &amp; "$26"),"-"),
     _xlfn._xlws.FILTER(_xlpm.listagem_versoes,_xlpm.listagem_versoes&lt;&gt;0)
)</f>
        <v>D</v>
      </c>
      <c r="FC8" s="369"/>
      <c r="FE8"/>
      <c r="FG8" s="15" t="str" cm="1">
        <f t="array" aca="1" ref="FG8:FG13" ca="1">_xlfn.LET(
     _xlpm.peca_sem_linha,
     IFERROR(TRIM(LEFT(FK1, MIN(IFERROR( SEARCH("LINE",FK1),100))-1)),FK1),
     _xlpm.listagem_versoes,
     _xlfn.XLOOKUP(_xlpm.peca_sem_linha,_xlfn.ANCHORARRAY('Correlations Tables'!$CR$18),INDIRECT("'Correlations Tables'!" &amp; "$CR$19:$" &amp; SUBSTITUTE(ADDRESS(1,COLUMNS(TRANSPOSE(tbl_products_lines[])) + 95,4),1,"") &amp; "$26"),"-"),
     _xlfn._xlws.FILTER(_xlpm.listagem_versoes,_xlpm.listagem_versoes&lt;&gt;0)
)</f>
        <v>A</v>
      </c>
      <c r="FK8" s="346"/>
      <c r="FM8"/>
      <c r="FO8" s="15" t="str" cm="1">
        <f t="array" aca="1" ref="FO8:FO13" ca="1">_xlfn.LET(
     _xlpm.peca_sem_linha,
     IFERROR(TRIM(LEFT(FS1, MIN(IFERROR( SEARCH("LINE",FS1),100))-1)),FS1),
     _xlpm.listagem_versoes,
     _xlfn.XLOOKUP(_xlpm.peca_sem_linha,_xlfn.ANCHORARRAY('Correlations Tables'!$CR$18),INDIRECT("'Correlations Tables'!" &amp; "$CR$19:$" &amp; SUBSTITUTE(ADDRESS(1,COLUMNS(TRANSPOSE(tbl_products_lines[])) + 95,4),1,"") &amp; "$26"),"-"),
     _xlfn._xlws.FILTER(_xlpm.listagem_versoes,_xlpm.listagem_versoes&lt;&gt;0)
)</f>
        <v>A</v>
      </c>
      <c r="FS8" s="346"/>
      <c r="FU8"/>
      <c r="FW8" s="15" t="str" cm="1">
        <f t="array" aca="1" ref="FW8:FW10" ca="1">_xlfn.LET(
     _xlpm.peca_sem_linha,
     IFERROR(TRIM(LEFT(GA1, MIN(IFERROR( SEARCH("LINE",GA1),100))-1)),GA1),
     _xlpm.listagem_versoes,
     _xlfn.XLOOKUP(_xlpm.peca_sem_linha,_xlfn.ANCHORARRAY('Correlations Tables'!$CR$18),INDIRECT("'Correlations Tables'!" &amp; "$CR$19:$" &amp; SUBSTITUTE(ADDRESS(1,COLUMNS(TRANSPOSE(tbl_products_lines[])) + 95,4),1,"") &amp; "$26"),"-"),
     _xlfn._xlws.FILTER(_xlpm.listagem_versoes,_xlpm.listagem_versoes&lt;&gt;0)
)</f>
        <v>D</v>
      </c>
      <c r="GA8" s="346"/>
      <c r="GC8"/>
      <c r="GE8" s="15" t="str" cm="1">
        <f t="array" aca="1" ref="GE8:GE9" ca="1">_xlfn.LET(
     _xlpm.peca_sem_linha,
     IFERROR(TRIM(LEFT(GI1, MIN(IFERROR( SEARCH("LINE",GI1),100))-1)),GI1),
     _xlpm.listagem_versoes,
     _xlfn.XLOOKUP(_xlpm.peca_sem_linha,_xlfn.ANCHORARRAY('Correlations Tables'!$CR$18),INDIRECT("'Correlations Tables'!" &amp; "$CR$19:$" &amp; SUBSTITUTE(ADDRESS(1,COLUMNS(TRANSPOSE(tbl_products_lines[])) + 95,4),1,"") &amp; "$26"),"-"),
     _xlfn._xlws.FILTER(_xlpm.listagem_versoes,_xlpm.listagem_versoes&lt;&gt;0)
)</f>
        <v>E</v>
      </c>
      <c r="GI8" s="346"/>
      <c r="GK8"/>
      <c r="GM8" s="15" t="str" cm="1">
        <f t="array" aca="1" ref="GM8:GM11" ca="1">_xlfn.LET(
     _xlpm.peca_sem_linha,
     IFERROR(TRIM(LEFT(GQ1, MIN(IFERROR( SEARCH("LINE",GQ1),100))-1)),GQ1),
     _xlpm.listagem_versoes,
     _xlfn.XLOOKUP(_xlpm.peca_sem_linha,_xlfn.ANCHORARRAY('Correlations Tables'!$CR$18),INDIRECT("'Correlations Tables'!" &amp; "$CR$19:$" &amp; SUBSTITUTE(ADDRESS(1,COLUMNS(TRANSPOSE(tbl_products_lines[])) + 95,4),1,"") &amp; "$26"),"-"),
     _xlfn._xlws.FILTER(_xlpm.listagem_versoes,_xlpm.listagem_versoes&lt;&gt;0)
)</f>
        <v>C</v>
      </c>
      <c r="GQ8" s="346"/>
      <c r="GS8"/>
      <c r="GU8" s="15" t="str" cm="1">
        <f t="array" aca="1" ref="GU8:GU10" ca="1">_xlfn.LET(
     _xlpm.peca_sem_linha,
     IFERROR(TRIM(LEFT(GY1, MIN(IFERROR( SEARCH("LINE",GY1),100))-1)),GY1),
     _xlpm.listagem_versoes,
     _xlfn.XLOOKUP(_xlpm.peca_sem_linha,_xlfn.ANCHORARRAY('Correlations Tables'!$CR$18),INDIRECT("'Correlations Tables'!" &amp; "$CR$19:$" &amp; SUBSTITUTE(ADDRESS(1,COLUMNS(TRANSPOSE(tbl_products_lines[])) + 95,4),1,"") &amp; "$26"),"-"),
     _xlfn._xlws.FILTER(_xlpm.listagem_versoes,_xlpm.listagem_versoes&lt;&gt;0)
)</f>
        <v>D</v>
      </c>
      <c r="GY8" s="346"/>
      <c r="HA8"/>
      <c r="HC8" s="15" t="str" cm="1">
        <f t="array" aca="1" ref="HC8:HC9" ca="1">_xlfn.LET(
     _xlpm.peca_sem_linha,
     IFERROR(TRIM(LEFT(HG1, MIN(IFERROR( SEARCH("LINE",HG1),100))-1)),HG1),
     _xlpm.listagem_versoes,
     _xlfn.XLOOKUP(_xlpm.peca_sem_linha,_xlfn.ANCHORARRAY('Correlations Tables'!$CR$18),INDIRECT("'Correlations Tables'!" &amp; "$CR$19:$" &amp; SUBSTITUTE(ADDRESS(1,COLUMNS(TRANSPOSE(tbl_products_lines[])) + 95,4),1,"") &amp; "$26"),"-"),
     _xlfn._xlws.FILTER(_xlpm.listagem_versoes,_xlpm.listagem_versoes&lt;&gt;0)
)</f>
        <v>E</v>
      </c>
      <c r="HG8" s="346"/>
      <c r="HI8"/>
      <c r="HK8" s="15" t="str" cm="1">
        <f t="array" aca="1" ref="HK8:HK9" ca="1">_xlfn.LET(
     _xlpm.peca_sem_linha,
     IFERROR(TRIM(LEFT(HO1, MIN(IFERROR( SEARCH("LINE",HO1),100))-1)),HO1),
     _xlpm.listagem_versoes,
     _xlfn.XLOOKUP(_xlpm.peca_sem_linha,_xlfn.ANCHORARRAY('Correlations Tables'!$CR$18),INDIRECT("'Correlations Tables'!" &amp; "$CR$19:$" &amp; SUBSTITUTE(ADDRESS(1,COLUMNS(TRANSPOSE(tbl_products_lines[])) + 95,4),1,"") &amp; "$26"),"-"),
     _xlfn._xlws.FILTER(_xlpm.listagem_versoes,_xlpm.listagem_versoes&lt;&gt;0)
)</f>
        <v>E</v>
      </c>
      <c r="HO8" s="346"/>
      <c r="HQ8"/>
      <c r="HS8" s="15" t="str" cm="1">
        <f t="array" aca="1" ref="HS8:HS11" ca="1">_xlfn.LET(
     _xlpm.peca_sem_linha,
     IFERROR(TRIM(LEFT(HW1, MIN(IFERROR( SEARCH("LINE",HW1),100))-1)),HW1),
     _xlpm.listagem_versoes,
     _xlfn.XLOOKUP(_xlpm.peca_sem_linha,_xlfn.ANCHORARRAY('Correlations Tables'!$CR$18),INDIRECT("'Correlations Tables'!" &amp; "$CR$19:$" &amp; SUBSTITUTE(ADDRESS(1,COLUMNS(TRANSPOSE(tbl_products_lines[])) + 95,4),1,"") &amp; "$26"),"-"),
     _xlfn._xlws.FILTER(_xlpm.listagem_versoes,_xlpm.listagem_versoes&lt;&gt;0)
)</f>
        <v>C</v>
      </c>
      <c r="HW8" s="346"/>
      <c r="HY8"/>
      <c r="IA8" s="15" t="str" cm="1">
        <f t="array" aca="1" ref="IA8:IA11" ca="1">_xlfn.LET(
     _xlpm.peca_sem_linha,
     IFERROR(TRIM(LEFT(IE1, MIN(IFERROR( SEARCH("LINE",IE1),100))-1)),IE1),
     _xlpm.listagem_versoes,
     _xlfn.XLOOKUP(_xlpm.peca_sem_linha,_xlfn.ANCHORARRAY('Correlations Tables'!$CR$18),INDIRECT("'Correlations Tables'!" &amp; "$CR$19:$" &amp; SUBSTITUTE(ADDRESS(1,COLUMNS(TRANSPOSE(tbl_products_lines[])) + 95,4),1,"") &amp; "$26"),"-"),
     _xlfn._xlws.FILTER(_xlpm.listagem_versoes,_xlpm.listagem_versoes&lt;&gt;0)
)</f>
        <v>C</v>
      </c>
      <c r="IE8" s="346"/>
      <c r="IG8"/>
      <c r="II8" s="15" t="str" cm="1">
        <f t="array" aca="1" ref="II8:II10" ca="1">_xlfn.LET(
     _xlpm.peca_sem_linha,
     IFERROR(TRIM(LEFT(IM1, MIN(IFERROR( SEARCH("LINE",IM1),100))-1)),IM1),
     _xlpm.listagem_versoes,
     _xlfn.XLOOKUP(_xlpm.peca_sem_linha,_xlfn.ANCHORARRAY('Correlations Tables'!$CR$18),INDIRECT("'Correlations Tables'!" &amp; "$CR$19:$" &amp; SUBSTITUTE(ADDRESS(1,COLUMNS(TRANSPOSE(tbl_products_lines[])) + 95,4),1,"") &amp; "$26"),"-"),
     _xlfn._xlws.FILTER(_xlpm.listagem_versoes,_xlpm.listagem_versoes&lt;&gt;0)
)</f>
        <v>D</v>
      </c>
      <c r="IM8" s="346"/>
      <c r="IO8"/>
      <c r="IQ8" s="15" t="str" cm="1">
        <f t="array" aca="1" ref="IQ8:IQ10" ca="1">_xlfn.LET(
     _xlpm.peca_sem_linha,
     IFERROR(TRIM(LEFT(IU1, MIN(IFERROR( SEARCH("LINE",IU1),100))-1)),IU1),
     _xlpm.listagem_versoes,
     _xlfn.XLOOKUP(_xlpm.peca_sem_linha,_xlfn.ANCHORARRAY('Correlations Tables'!$CR$18),INDIRECT("'Correlations Tables'!" &amp; "$CR$19:$" &amp; SUBSTITUTE(ADDRESS(1,COLUMNS(TRANSPOSE(tbl_products_lines[])) + 95,4),1,"") &amp; "$26"),"-"),
     _xlfn._xlws.FILTER(_xlpm.listagem_versoes,_xlpm.listagem_versoes&lt;&gt;0)
)</f>
        <v>D</v>
      </c>
      <c r="IU8" s="346"/>
      <c r="IW8"/>
      <c r="IY8" s="15" t="str" cm="1">
        <f t="array" aca="1" ref="IY8:IY9" ca="1">_xlfn.LET(
     _xlpm.peca_sem_linha,
     IFERROR(TRIM(LEFT(JC1, MIN(IFERROR( SEARCH("LINE",JC1),100))-1)),JC1),
     _xlpm.listagem_versoes,
     _xlfn.XLOOKUP(_xlpm.peca_sem_linha,_xlfn.ANCHORARRAY('Correlations Tables'!$CR$18),INDIRECT("'Correlations Tables'!" &amp; "$CR$19:$" &amp; SUBSTITUTE(ADDRESS(1,COLUMNS(TRANSPOSE(tbl_products_lines[])) + 95,4),1,"") &amp; "$26"),"-"),
     _xlfn._xlws.FILTER(_xlpm.listagem_versoes,_xlpm.listagem_versoes&lt;&gt;0)
)</f>
        <v>E</v>
      </c>
      <c r="JC8" s="346"/>
      <c r="JE8"/>
      <c r="JG8" s="15" t="str" cm="1">
        <f t="array" aca="1" ref="JG8:JG9" ca="1">_xlfn.LET(
     _xlpm.peca_sem_linha,
     IFERROR(TRIM(LEFT(JK1, MIN(IFERROR( SEARCH("LINE",JK1),100))-1)),JK1),
     _xlpm.listagem_versoes,
     _xlfn.XLOOKUP(_xlpm.peca_sem_linha,_xlfn.ANCHORARRAY('Correlations Tables'!$CR$18),INDIRECT("'Correlations Tables'!" &amp; "$CR$19:$" &amp; SUBSTITUTE(ADDRESS(1,COLUMNS(TRANSPOSE(tbl_products_lines[])) + 95,4),1,"") &amp; "$26"),"-"),
     _xlfn._xlws.FILTER(_xlpm.listagem_versoes,_xlpm.listagem_versoes&lt;&gt;0)
)</f>
        <v>E</v>
      </c>
      <c r="JK8" s="346"/>
      <c r="JM8"/>
      <c r="JO8" s="15" t="str" cm="1">
        <f t="array" aca="1" ref="JO8:JO11" ca="1">_xlfn.LET(
     _xlpm.peca_sem_linha,
     IFERROR(TRIM(LEFT(JS1, MIN(IFERROR( SEARCH("LINE",JS1),100))-1)),JS1),
     _xlpm.listagem_versoes,
     _xlfn.XLOOKUP(_xlpm.peca_sem_linha,_xlfn.ANCHORARRAY('Correlations Tables'!$CR$18),INDIRECT("'Correlations Tables'!" &amp; "$CR$19:$" &amp; SUBSTITUTE(ADDRESS(1,COLUMNS(TRANSPOSE(tbl_products_lines[])) + 95,4),1,"") &amp; "$26"),"-"),
     _xlfn._xlws.FILTER(_xlpm.listagem_versoes,_xlpm.listagem_versoes&lt;&gt;0)
)</f>
        <v>C</v>
      </c>
      <c r="JS8" s="346"/>
      <c r="JU8"/>
      <c r="JW8" s="15" t="str" cm="1">
        <f t="array" aca="1" ref="JW8:JW11" ca="1">_xlfn.LET(
     _xlpm.peca_sem_linha,
     IFERROR(TRIM(LEFT(KA1, MIN(IFERROR( SEARCH("LINE",KA1),100))-1)),KA1),
     _xlpm.listagem_versoes,
     _xlfn.XLOOKUP(_xlpm.peca_sem_linha,_xlfn.ANCHORARRAY('Correlations Tables'!$CR$18),INDIRECT("'Correlations Tables'!" &amp; "$CR$19:$" &amp; SUBSTITUTE(ADDRESS(1,COLUMNS(TRANSPOSE(tbl_products_lines[])) + 95,4),1,"") &amp; "$26"),"-"),
     _xlfn._xlws.FILTER(_xlpm.listagem_versoes,_xlpm.listagem_versoes&lt;&gt;0)
)</f>
        <v>C</v>
      </c>
      <c r="KA8" s="346"/>
      <c r="KC8"/>
      <c r="KE8" s="15" t="str" cm="1">
        <f t="array" aca="1" ref="KE8:KE10" ca="1">_xlfn.LET(
     _xlpm.peca_sem_linha,
     IFERROR(TRIM(LEFT(KI1, MIN(IFERROR( SEARCH("LINE",KI1),100))-1)),KI1),
     _xlpm.listagem_versoes,
     _xlfn.XLOOKUP(_xlpm.peca_sem_linha,_xlfn.ANCHORARRAY('Correlations Tables'!$CR$18),INDIRECT("'Correlations Tables'!" &amp; "$CR$19:$" &amp; SUBSTITUTE(ADDRESS(1,COLUMNS(TRANSPOSE(tbl_products_lines[])) + 95,4),1,"") &amp; "$26"),"-"),
     _xlfn._xlws.FILTER(_xlpm.listagem_versoes,_xlpm.listagem_versoes&lt;&gt;0)
)</f>
        <v>D</v>
      </c>
      <c r="KI8" s="346"/>
      <c r="KK8"/>
      <c r="KM8" s="15" t="str" cm="1">
        <f t="array" aca="1" ref="KM8:KM10" ca="1">_xlfn.LET(
     _xlpm.peca_sem_linha,
     IFERROR(TRIM(LEFT(KQ1, MIN(IFERROR( SEARCH("LINE",KQ1),100))-1)),KQ1),
     _xlpm.listagem_versoes,
     _xlfn.XLOOKUP(_xlpm.peca_sem_linha,_xlfn.ANCHORARRAY('Correlations Tables'!$CR$18),INDIRECT("'Correlations Tables'!" &amp; "$CR$19:$" &amp; SUBSTITUTE(ADDRESS(1,COLUMNS(TRANSPOSE(tbl_products_lines[])) + 95,4),1,"") &amp; "$26"),"-"),
     _xlfn._xlws.FILTER(_xlpm.listagem_versoes,_xlpm.listagem_versoes&lt;&gt;0)
)</f>
        <v>D</v>
      </c>
      <c r="KQ8" s="346"/>
      <c r="KS8"/>
      <c r="KU8" s="15" t="str" cm="1">
        <f t="array" aca="1" ref="KU8:KU13" ca="1">_xlfn.LET(
     _xlpm.peca_sem_linha,
     IFERROR(TRIM(LEFT(KY1, MIN(IFERROR( SEARCH("LINE",KY1),100))-1)),KY1),
     _xlpm.listagem_versoes,
     _xlfn.XLOOKUP(_xlpm.peca_sem_linha,_xlfn.ANCHORARRAY('Correlations Tables'!$CR$18),INDIRECT("'Correlations Tables'!" &amp; "$CR$19:$" &amp; SUBSTITUTE(ADDRESS(1,COLUMNS(TRANSPOSE(tbl_products_lines[])) + 95,4),1,"") &amp; "$26"),"-"),
     _xlfn._xlws.FILTER(_xlpm.listagem_versoes,_xlpm.listagem_versoes&lt;&gt;0)
)</f>
        <v>A</v>
      </c>
      <c r="KY8" s="346"/>
      <c r="LA8"/>
      <c r="LC8" s="15" t="str" cm="1">
        <f t="array" aca="1" ref="LC8:LC13" ca="1">_xlfn.LET(
     _xlpm.peca_sem_linha,
     IFERROR(TRIM(LEFT(LG1, MIN(IFERROR( SEARCH("LINE",LG1),100))-1)),LG1),
     _xlpm.listagem_versoes,
     _xlfn.XLOOKUP(_xlpm.peca_sem_linha,_xlfn.ANCHORARRAY('Correlations Tables'!$CR$18),INDIRECT("'Correlations Tables'!" &amp; "$CR$19:$" &amp; SUBSTITUTE(ADDRESS(1,COLUMNS(TRANSPOSE(tbl_products_lines[])) + 95,4),1,"") &amp; "$26"),"-"),
     _xlfn._xlws.FILTER(_xlpm.listagem_versoes,_xlpm.listagem_versoes&lt;&gt;0)
)</f>
        <v>A</v>
      </c>
      <c r="LG8" s="346"/>
      <c r="LI8"/>
      <c r="LK8" s="15" t="str" cm="1">
        <f t="array" aca="1" ref="LK8:LK13" ca="1">_xlfn.LET(
     _xlpm.peca_sem_linha,
     IFERROR(TRIM(LEFT(LO1, MIN(IFERROR( SEARCH("LINE",LO1),100))-1)),LO1),
     _xlpm.listagem_versoes,
     _xlfn.XLOOKUP(_xlpm.peca_sem_linha,_xlfn.ANCHORARRAY('Correlations Tables'!$CR$18),INDIRECT("'Correlations Tables'!" &amp; "$CR$19:$" &amp; SUBSTITUTE(ADDRESS(1,COLUMNS(TRANSPOSE(tbl_products_lines[])) + 95,4),1,"") &amp; "$26"),"-"),
     _xlfn._xlws.FILTER(_xlpm.listagem_versoes,_xlpm.listagem_versoes&lt;&gt;0)
)</f>
        <v>A</v>
      </c>
      <c r="LO8" s="346"/>
      <c r="LQ8"/>
      <c r="LS8" s="15" t="str" cm="1">
        <f t="array" aca="1" ref="LS8:LS13" ca="1">_xlfn.LET(
     _xlpm.peca_sem_linha,
     IFERROR(TRIM(LEFT(LW1, MIN(IFERROR( SEARCH("LINE",LW1),100))-1)),LW1),
     _xlpm.listagem_versoes,
     _xlfn.XLOOKUP(_xlpm.peca_sem_linha,_xlfn.ANCHORARRAY('Correlations Tables'!$CR$18),INDIRECT("'Correlations Tables'!" &amp; "$CR$19:$" &amp; SUBSTITUTE(ADDRESS(1,COLUMNS(TRANSPOSE(tbl_products_lines[])) + 95,4),1,"") &amp; "$26"),"-"),
     _xlfn._xlws.FILTER(_xlpm.listagem_versoes,_xlpm.listagem_versoes&lt;&gt;0)
)</f>
        <v>A</v>
      </c>
      <c r="LW8" s="346"/>
      <c r="LY8"/>
      <c r="MA8" s="15" t="str" cm="1">
        <f t="array" aca="1" ref="MA8:MA11" ca="1">_xlfn.LET(
     _xlpm.peca_sem_linha,
     IFERROR(TRIM(LEFT(ME1, MIN(IFERROR( SEARCH("LINE",ME1),100))-1)),ME1),
     _xlpm.listagem_versoes,
     _xlfn.XLOOKUP(_xlpm.peca_sem_linha,_xlfn.ANCHORARRAY('Correlations Tables'!$CR$18),INDIRECT("'Correlations Tables'!" &amp; "$CR$19:$" &amp; SUBSTITUTE(ADDRESS(1,COLUMNS(TRANSPOSE(tbl_products_lines[])) + 95,4),1,"") &amp; "$26"),"-"),
     _xlfn._xlws.FILTER(_xlpm.listagem_versoes,_xlpm.listagem_versoes&lt;&gt;0)
)</f>
        <v>C</v>
      </c>
      <c r="ME8" s="346"/>
      <c r="MG8"/>
      <c r="MI8" s="15" t="str" cm="1">
        <f t="array" aca="1" ref="MI8:MI11" ca="1">_xlfn.LET(
     _xlpm.peca_sem_linha,
     IFERROR(TRIM(LEFT(MM1, MIN(IFERROR( SEARCH("LINE",MM1),100))-1)),MM1),
     _xlpm.listagem_versoes,
     _xlfn.XLOOKUP(_xlpm.peca_sem_linha,_xlfn.ANCHORARRAY('Correlations Tables'!$CR$18),INDIRECT("'Correlations Tables'!" &amp; "$CR$19:$" &amp; SUBSTITUTE(ADDRESS(1,COLUMNS(TRANSPOSE(tbl_products_lines[])) + 95,4),1,"") &amp; "$26"),"-"),
     _xlfn._xlws.FILTER(_xlpm.listagem_versoes,_xlpm.listagem_versoes&lt;&gt;0)
)</f>
        <v>C</v>
      </c>
      <c r="MM8" s="346"/>
      <c r="MO8"/>
      <c r="MQ8" s="15" t="str" cm="1">
        <f t="array" aca="1" ref="MQ8:MQ9" ca="1">_xlfn.LET(
     _xlpm.peca_sem_linha,
     IFERROR(TRIM(LEFT(MU1, MIN(IFERROR( SEARCH("LINE",MU1),100))-1)),MU1),
     _xlpm.listagem_versoes,
     _xlfn.XLOOKUP(_xlpm.peca_sem_linha,_xlfn.ANCHORARRAY('Correlations Tables'!$CR$18),INDIRECT("'Correlations Tables'!" &amp; "$CR$19:$" &amp; SUBSTITUTE(ADDRESS(1,COLUMNS(TRANSPOSE(tbl_products_lines[])) + 95,4),1,"") &amp; "$26"),"-"),
     _xlfn._xlws.FILTER(_xlpm.listagem_versoes,_xlpm.listagem_versoes&lt;&gt;0)
)</f>
        <v>E</v>
      </c>
      <c r="MU8" s="346"/>
      <c r="MW8"/>
      <c r="MY8" s="15" t="str" cm="1">
        <f t="array" aca="1" ref="MY8:MY9" ca="1">_xlfn.LET(
     _xlpm.peca_sem_linha,
     IFERROR(TRIM(LEFT(NC1, MIN(IFERROR( SEARCH("LINE",NC1),100))-1)),NC1),
     _xlpm.listagem_versoes,
     _xlfn.XLOOKUP(_xlpm.peca_sem_linha,_xlfn.ANCHORARRAY('Correlations Tables'!$CR$18),INDIRECT("'Correlations Tables'!" &amp; "$CR$19:$" &amp; SUBSTITUTE(ADDRESS(1,COLUMNS(TRANSPOSE(tbl_products_lines[])) + 95,4),1,"") &amp; "$26"),"-"),
     _xlfn._xlws.FILTER(_xlpm.listagem_versoes,_xlpm.listagem_versoes&lt;&gt;0)
)</f>
        <v>E</v>
      </c>
      <c r="NC8" s="346"/>
      <c r="NE8"/>
      <c r="NG8" s="15" t="str" cm="1">
        <f t="array" aca="1" ref="NG8:NG11" ca="1">_xlfn.LET(
     _xlpm.peca_sem_linha,
     IFERROR(TRIM(LEFT(NK1, MIN(IFERROR( SEARCH("LINE",NK1),100))-1)),NK1),
     _xlpm.listagem_versoes,
     _xlfn.XLOOKUP(_xlpm.peca_sem_linha,_xlfn.ANCHORARRAY('Correlations Tables'!$CR$18),INDIRECT("'Correlations Tables'!" &amp; "$CR$19:$" &amp; SUBSTITUTE(ADDRESS(1,COLUMNS(TRANSPOSE(tbl_products_lines[])) + 95,4),1,"") &amp; "$26"),"-"),
     _xlfn._xlws.FILTER(_xlpm.listagem_versoes,_xlpm.listagem_versoes&lt;&gt;0)
)</f>
        <v>C</v>
      </c>
      <c r="NK8" s="346"/>
      <c r="NM8"/>
      <c r="NO8" s="15" t="str" cm="1">
        <f t="array" aca="1" ref="NO8:NO11" ca="1">_xlfn.LET(
     _xlpm.peca_sem_linha,
     IFERROR(TRIM(LEFT(NS1, MIN(IFERROR( SEARCH("LINE",NS1),100))-1)),NS1),
     _xlpm.listagem_versoes,
     _xlfn.XLOOKUP(_xlpm.peca_sem_linha,_xlfn.ANCHORARRAY('Correlations Tables'!$CR$18),INDIRECT("'Correlations Tables'!" &amp; "$CR$19:$" &amp; SUBSTITUTE(ADDRESS(1,COLUMNS(TRANSPOSE(tbl_products_lines[])) + 95,4),1,"") &amp; "$26"),"-"),
     _xlfn._xlws.FILTER(_xlpm.listagem_versoes,_xlpm.listagem_versoes&lt;&gt;0)
)</f>
        <v>C</v>
      </c>
      <c r="NS8" s="346"/>
      <c r="NU8"/>
      <c r="NW8" s="15" t="str" cm="1">
        <f t="array" aca="1" ref="NW8:NW10" ca="1">_xlfn.LET(
     _xlpm.peca_sem_linha,
     IFERROR(TRIM(LEFT(OA1, MIN(IFERROR( SEARCH("LINE",OA1),100))-1)),OA1),
     _xlpm.listagem_versoes,
     _xlfn.XLOOKUP(_xlpm.peca_sem_linha,_xlfn.ANCHORARRAY('Correlations Tables'!$CR$18),INDIRECT("'Correlations Tables'!" &amp; "$CR$19:$" &amp; SUBSTITUTE(ADDRESS(1,COLUMNS(TRANSPOSE(tbl_products_lines[])) + 95,4),1,"") &amp; "$26"),"-"),
     _xlfn._xlws.FILTER(_xlpm.listagem_versoes,_xlpm.listagem_versoes&lt;&gt;0)
)</f>
        <v>D</v>
      </c>
      <c r="OA8" s="346"/>
      <c r="OC8"/>
      <c r="OE8" s="15" t="str" cm="1">
        <f t="array" aca="1" ref="OE8:OE10" ca="1">_xlfn.LET(
     _xlpm.peca_sem_linha,
     IFERROR(TRIM(LEFT(OI1, MIN(IFERROR( SEARCH("LINE",OI1),100))-1)),OI1),
     _xlpm.listagem_versoes,
     _xlfn.XLOOKUP(_xlpm.peca_sem_linha,_xlfn.ANCHORARRAY('Correlations Tables'!$CR$18),INDIRECT("'Correlations Tables'!" &amp; "$CR$19:$" &amp; SUBSTITUTE(ADDRESS(1,COLUMNS(TRANSPOSE(tbl_products_lines[])) + 95,4),1,"") &amp; "$26"),"-"),
     _xlfn._xlws.FILTER(_xlpm.listagem_versoes,_xlpm.listagem_versoes&lt;&gt;0)
)</f>
        <v>D</v>
      </c>
      <c r="OI8" s="346"/>
      <c r="OK8"/>
      <c r="OM8" s="15" t="str" cm="1">
        <f t="array" aca="1" ref="OM8:OM14" ca="1">_xlfn.LET(
     _xlpm.peca_sem_linha,
     IFERROR(TRIM(LEFT(OQ1, MIN(IFERROR( SEARCH("LINE",OQ1),100))-1)),OQ1),
     _xlpm.listagem_versoes,
     _xlfn.XLOOKUP(_xlpm.peca_sem_linha,_xlfn.ANCHORARRAY('Correlations Tables'!$CR$18),INDIRECT("'Correlations Tables'!" &amp; "$CR$19:$" &amp; SUBSTITUTE(ADDRESS(1,COLUMNS(TRANSPOSE(tbl_products_lines[])) + 95,4),1,"") &amp; "$26"),"-"),
     _xlfn._xlws.FILTER(_xlpm.listagem_versoes,_xlpm.listagem_versoes&lt;&gt;0)
)</f>
        <v>A</v>
      </c>
      <c r="OQ8" s="346"/>
      <c r="OS8"/>
      <c r="OU8" s="15" t="str" cm="1">
        <f t="array" aca="1" ref="OU8:OU14" ca="1">_xlfn.LET(
     _xlpm.peca_sem_linha,
     IFERROR(TRIM(LEFT(OY1, MIN(IFERROR( SEARCH("LINE",OY1),100))-1)),OY1),
     _xlpm.listagem_versoes,
     _xlfn.XLOOKUP(_xlpm.peca_sem_linha,_xlfn.ANCHORARRAY('Correlations Tables'!$CR$18),INDIRECT("'Correlations Tables'!" &amp; "$CR$19:$" &amp; SUBSTITUTE(ADDRESS(1,COLUMNS(TRANSPOSE(tbl_products_lines[])) + 95,4),1,"") &amp; "$26"),"-"),
     _xlfn._xlws.FILTER(_xlpm.listagem_versoes,_xlpm.listagem_versoes&lt;&gt;0)
)</f>
        <v>A</v>
      </c>
      <c r="OY8" s="346"/>
      <c r="PA8"/>
      <c r="PC8" s="15" t="str" cm="1">
        <f t="array" aca="1" ref="PC8:PC14" ca="1">_xlfn.LET(
     _xlpm.peca_sem_linha,
     IFERROR(TRIM(LEFT(PG1, MIN(IFERROR( SEARCH("LINE",PG1),100))-1)),PG1),
     _xlpm.listagem_versoes,
     _xlfn.XLOOKUP(_xlpm.peca_sem_linha,_xlfn.ANCHORARRAY('Correlations Tables'!$CR$18),INDIRECT("'Correlations Tables'!" &amp; "$CR$19:$" &amp; SUBSTITUTE(ADDRESS(1,COLUMNS(TRANSPOSE(tbl_products_lines[])) + 95,4),1,"") &amp; "$26"),"-"),
     _xlfn._xlws.FILTER(_xlpm.listagem_versoes,_xlpm.listagem_versoes&lt;&gt;0)
)</f>
        <v>A</v>
      </c>
      <c r="PG8" s="346"/>
      <c r="PI8"/>
      <c r="PK8" s="15" t="str" cm="1">
        <f t="array" aca="1" ref="PK8:PK14" ca="1">_xlfn.LET(
     _xlpm.peca_sem_linha,
     IFERROR(TRIM(LEFT(PO1, MIN(IFERROR( SEARCH("LINE",PO1),100))-1)),PO1),
     _xlpm.listagem_versoes,
     _xlfn.XLOOKUP(_xlpm.peca_sem_linha,_xlfn.ANCHORARRAY('Correlations Tables'!$CR$18),INDIRECT("'Correlations Tables'!" &amp; "$CR$19:$" &amp; SUBSTITUTE(ADDRESS(1,COLUMNS(TRANSPOSE(tbl_products_lines[])) + 95,4),1,"") &amp; "$26"),"-"),
     _xlfn._xlws.FILTER(_xlpm.listagem_versoes,_xlpm.listagem_versoes&lt;&gt;0)
)</f>
        <v>A</v>
      </c>
      <c r="PO8" s="346"/>
      <c r="PQ8"/>
      <c r="PS8" s="15" t="str" cm="1">
        <f t="array" aca="1" ref="PS8:PS12" ca="1">_xlfn.LET(
     _xlpm.peca_sem_linha,
     IFERROR(TRIM(LEFT(PW1, MIN(IFERROR( SEARCH("LINE",PW1),100))-1)),PW1),
     _xlpm.listagem_versoes,
     _xlfn.XLOOKUP(_xlpm.peca_sem_linha,_xlfn.ANCHORARRAY('Correlations Tables'!$CR$18),INDIRECT("'Correlations Tables'!" &amp; "$CR$19:$" &amp; SUBSTITUTE(ADDRESS(1,COLUMNS(TRANSPOSE(tbl_products_lines[])) + 95,4),1,"") &amp; "$26"),"-"),
     _xlfn._xlws.FILTER(_xlpm.listagem_versoes,_xlpm.listagem_versoes&lt;&gt;0)
)</f>
        <v>C</v>
      </c>
      <c r="PW8" s="346"/>
      <c r="PY8"/>
      <c r="QA8" s="15" t="str" cm="1">
        <f t="array" aca="1" ref="QA8:QA12" ca="1">_xlfn.LET(
     _xlpm.peca_sem_linha,
     IFERROR(TRIM(LEFT(QE1, MIN(IFERROR( SEARCH("LINE",QE1),100))-1)),QE1),
     _xlpm.listagem_versoes,
     _xlfn.XLOOKUP(_xlpm.peca_sem_linha,_xlfn.ANCHORARRAY('Correlations Tables'!$CR$18),INDIRECT("'Correlations Tables'!" &amp; "$CR$19:$" &amp; SUBSTITUTE(ADDRESS(1,COLUMNS(TRANSPOSE(tbl_products_lines[])) + 95,4),1,"") &amp; "$26"),"-"),
     _xlfn._xlws.FILTER(_xlpm.listagem_versoes,_xlpm.listagem_versoes&lt;&gt;0)
)</f>
        <v>C</v>
      </c>
      <c r="QE8" s="346"/>
      <c r="QG8"/>
      <c r="QI8" s="15" t="str" cm="1">
        <f t="array" aca="1" ref="QI8:QI10" ca="1">_xlfn.LET(
     _xlpm.peca_sem_linha,
     IFERROR(TRIM(LEFT(QM1, MIN(IFERROR( SEARCH("LINE",QM1),100))-1)),QM1),
     _xlpm.listagem_versoes,
     _xlfn.XLOOKUP(_xlpm.peca_sem_linha,_xlfn.ANCHORARRAY('Correlations Tables'!$CR$18),INDIRECT("'Correlations Tables'!" &amp; "$CR$19:$" &amp; SUBSTITUTE(ADDRESS(1,COLUMNS(TRANSPOSE(tbl_products_lines[])) + 95,4),1,"") &amp; "$26"),"-"),
     _xlfn._xlws.FILTER(_xlpm.listagem_versoes,_xlpm.listagem_versoes&lt;&gt;0)
)</f>
        <v>E</v>
      </c>
      <c r="QM8" s="346"/>
      <c r="QO8"/>
      <c r="QQ8" s="15" t="str" cm="1">
        <f t="array" aca="1" ref="QQ8:QQ10" ca="1">_xlfn.LET(
     _xlpm.peca_sem_linha,
     IFERROR(TRIM(LEFT(QU1, MIN(IFERROR( SEARCH("LINE",QU1),100))-1)),QU1),
     _xlpm.listagem_versoes,
     _xlfn.XLOOKUP(_xlpm.peca_sem_linha,_xlfn.ANCHORARRAY('Correlations Tables'!$CR$18),INDIRECT("'Correlations Tables'!" &amp; "$CR$19:$" &amp; SUBSTITUTE(ADDRESS(1,COLUMNS(TRANSPOSE(tbl_products_lines[])) + 95,4),1,"") &amp; "$26"),"-"),
     _xlfn._xlws.FILTER(_xlpm.listagem_versoes,_xlpm.listagem_versoes&lt;&gt;0)
)</f>
        <v>E</v>
      </c>
      <c r="QU8" s="346"/>
      <c r="QW8"/>
      <c r="QY8" s="15" t="str" cm="1">
        <f t="array" aca="1" ref="QY8:QY12" ca="1">_xlfn.LET(
     _xlpm.peca_sem_linha,
     IFERROR(TRIM(LEFT(RC1, MIN(IFERROR( SEARCH("LINE",RC1),100))-1)),RC1),
     _xlpm.listagem_versoes,
     _xlfn.XLOOKUP(_xlpm.peca_sem_linha,_xlfn.ANCHORARRAY('Correlations Tables'!$CR$18),INDIRECT("'Correlations Tables'!" &amp; "$CR$19:$" &amp; SUBSTITUTE(ADDRESS(1,COLUMNS(TRANSPOSE(tbl_products_lines[])) + 95,4),1,"") &amp; "$26"),"-"),
     _xlfn._xlws.FILTER(_xlpm.listagem_versoes,_xlpm.listagem_versoes&lt;&gt;0)
)</f>
        <v>C</v>
      </c>
      <c r="RC8" s="346"/>
      <c r="RE8"/>
      <c r="RG8" s="15" t="str" cm="1">
        <f t="array" aca="1" ref="RG8:RG12" ca="1">_xlfn.LET(
     _xlpm.peca_sem_linha,
     IFERROR(TRIM(LEFT(RK1, MIN(IFERROR( SEARCH("LINE",RK1),100))-1)),RK1),
     _xlpm.listagem_versoes,
     _xlfn.XLOOKUP(_xlpm.peca_sem_linha,_xlfn.ANCHORARRAY('Correlations Tables'!$CR$18),INDIRECT("'Correlations Tables'!" &amp; "$CR$19:$" &amp; SUBSTITUTE(ADDRESS(1,COLUMNS(TRANSPOSE(tbl_products_lines[])) + 95,4),1,"") &amp; "$26"),"-"),
     _xlfn._xlws.FILTER(_xlpm.listagem_versoes,_xlpm.listagem_versoes&lt;&gt;0)
)</f>
        <v>C</v>
      </c>
      <c r="RK8" s="346"/>
      <c r="RM8"/>
      <c r="RO8" s="15" t="str" cm="1">
        <f t="array" aca="1" ref="RO8:RO10" ca="1">_xlfn.LET(
     _xlpm.peca_sem_linha,
     IFERROR(TRIM(LEFT(RS1, MIN(IFERROR( SEARCH("LINE",RS1),100))-1)),RS1),
     _xlpm.listagem_versoes,
     _xlfn.XLOOKUP(_xlpm.peca_sem_linha,_xlfn.ANCHORARRAY('Correlations Tables'!$CR$18),INDIRECT("'Correlations Tables'!" &amp; "$CR$19:$" &amp; SUBSTITUTE(ADDRESS(1,COLUMNS(TRANSPOSE(tbl_products_lines[])) + 95,4),1,"") &amp; "$26"),"-"),
     _xlfn._xlws.FILTER(_xlpm.listagem_versoes,_xlpm.listagem_versoes&lt;&gt;0)
)</f>
        <v>E</v>
      </c>
      <c r="RS8" s="346"/>
      <c r="RU8"/>
      <c r="RW8" s="15" t="str" cm="1">
        <f t="array" aca="1" ref="RW8:RW10" ca="1">_xlfn.LET(
     _xlpm.peca_sem_linha,
     IFERROR(TRIM(LEFT(SA1, MIN(IFERROR( SEARCH("LINE",SA1),100))-1)),SA1),
     _xlpm.listagem_versoes,
     _xlfn.XLOOKUP(_xlpm.peca_sem_linha,_xlfn.ANCHORARRAY('Correlations Tables'!$CR$18),INDIRECT("'Correlations Tables'!" &amp; "$CR$19:$" &amp; SUBSTITUTE(ADDRESS(1,COLUMNS(TRANSPOSE(tbl_products_lines[])) + 95,4),1,"") &amp; "$26"),"-"),
     _xlfn._xlws.FILTER(_xlpm.listagem_versoes,_xlpm.listagem_versoes&lt;&gt;0)
)</f>
        <v>E</v>
      </c>
      <c r="SA8" s="346"/>
      <c r="SC8"/>
      <c r="SE8" s="15" t="str" cm="1">
        <f t="array" aca="1" ref="SE8:SE9" ca="1">_xlfn.LET(
     _xlpm.peca_sem_linha,
     IFERROR(TRIM(LEFT(SI1, MIN(IFERROR( SEARCH("LINE",SI1),100))-1)),SI1),
     _xlpm.listagem_versoes,
     _xlfn.XLOOKUP(_xlpm.peca_sem_linha,_xlfn.ANCHORARRAY('Correlations Tables'!$CR$18),INDIRECT("'Correlations Tables'!" &amp; "$CR$19:$" &amp; SUBSTITUTE(ADDRESS(1,COLUMNS(TRANSPOSE(tbl_products_lines[])) + 95,4),1,"") &amp; "$26"),"-"),
     _xlfn._xlws.FILTER(_xlpm.listagem_versoes,_xlpm.listagem_versoes&lt;&gt;0)
)</f>
        <v>E</v>
      </c>
      <c r="SI8" s="346"/>
      <c r="SK8"/>
      <c r="SM8" s="15" t="str" cm="1">
        <f t="array" aca="1" ref="SM8:SM9" ca="1">_xlfn.LET(
     _xlpm.peca_sem_linha,
     IFERROR(TRIM(LEFT(SQ1, MIN(IFERROR( SEARCH("LINE",SQ1),100))-1)),SQ1),
     _xlpm.listagem_versoes,
     _xlfn.XLOOKUP(_xlpm.peca_sem_linha,_xlfn.ANCHORARRAY('Correlations Tables'!$CR$18),INDIRECT("'Correlations Tables'!" &amp; "$CR$19:$" &amp; SUBSTITUTE(ADDRESS(1,COLUMNS(TRANSPOSE(tbl_products_lines[])) + 95,4),1,"") &amp; "$26"),"-"),
     _xlfn._xlws.FILTER(_xlpm.listagem_versoes,_xlpm.listagem_versoes&lt;&gt;0)
)</f>
        <v>E</v>
      </c>
      <c r="SQ8" s="346"/>
      <c r="SS8"/>
      <c r="SU8" s="15" t="str" cm="1">
        <f t="array" aca="1" ref="SU8:SU11" ca="1">_xlfn.LET(
     _xlpm.peca_sem_linha,
     IFERROR(TRIM(LEFT(SY1, MIN(IFERROR( SEARCH("LINE",SY1),100))-1)),SY1),
     _xlpm.listagem_versoes,
     _xlfn.XLOOKUP(_xlpm.peca_sem_linha,_xlfn.ANCHORARRAY('Correlations Tables'!$CR$18),INDIRECT("'Correlations Tables'!" &amp; "$CR$19:$" &amp; SUBSTITUTE(ADDRESS(1,COLUMNS(TRANSPOSE(tbl_products_lines[])) + 95,4),1,"") &amp; "$26"),"-"),
     _xlfn._xlws.FILTER(_xlpm.listagem_versoes,_xlpm.listagem_versoes&lt;&gt;0)
)</f>
        <v>C</v>
      </c>
      <c r="SY8" s="346"/>
      <c r="TA8"/>
      <c r="TC8" s="15" t="str" cm="1">
        <f t="array" aca="1" ref="TC8:TC11" ca="1">_xlfn.LET(
     _xlpm.peca_sem_linha,
     IFERROR(TRIM(LEFT(TG1, MIN(IFERROR( SEARCH("LINE",TG1),100))-1)),TG1),
     _xlpm.listagem_versoes,
     _xlfn.XLOOKUP(_xlpm.peca_sem_linha,_xlfn.ANCHORARRAY('Correlations Tables'!$CR$18),INDIRECT("'Correlations Tables'!" &amp; "$CR$19:$" &amp; SUBSTITUTE(ADDRESS(1,COLUMNS(TRANSPOSE(tbl_products_lines[])) + 95,4),1,"") &amp; "$26"),"-"),
     _xlfn._xlws.FILTER(_xlpm.listagem_versoes,_xlpm.listagem_versoes&lt;&gt;0)
)</f>
        <v>C</v>
      </c>
      <c r="TG8" s="346"/>
      <c r="TI8"/>
      <c r="TK8" s="15" t="str" cm="1">
        <f t="array" aca="1" ref="TK8:TK10" ca="1">_xlfn.LET(
     _xlpm.peca_sem_linha,
     IFERROR(TRIM(LEFT(TO1, MIN(IFERROR( SEARCH("LINE",TO1),100))-1)),TO1),
     _xlpm.listagem_versoes,
     _xlfn.XLOOKUP(_xlpm.peca_sem_linha,_xlfn.ANCHORARRAY('Correlations Tables'!$CR$18),INDIRECT("'Correlations Tables'!" &amp; "$CR$19:$" &amp; SUBSTITUTE(ADDRESS(1,COLUMNS(TRANSPOSE(tbl_products_lines[])) + 95,4),1,"") &amp; "$26"),"-"),
     _xlfn._xlws.FILTER(_xlpm.listagem_versoes,_xlpm.listagem_versoes&lt;&gt;0)
)</f>
        <v>D</v>
      </c>
      <c r="TO8" s="346"/>
      <c r="TQ8"/>
      <c r="TS8" s="15" t="str" cm="1">
        <f t="array" aca="1" ref="TS8:TS10" ca="1">_xlfn.LET(
     _xlpm.peca_sem_linha,
     IFERROR(TRIM(LEFT(TW1, MIN(IFERROR( SEARCH("LINE",TW1),100))-1)),TW1),
     _xlpm.listagem_versoes,
     _xlfn.XLOOKUP(_xlpm.peca_sem_linha,_xlfn.ANCHORARRAY('Correlations Tables'!$CR$18),INDIRECT("'Correlations Tables'!" &amp; "$CR$19:$" &amp; SUBSTITUTE(ADDRESS(1,COLUMNS(TRANSPOSE(tbl_products_lines[])) + 95,4),1,"") &amp; "$26"),"-"),
     _xlfn._xlws.FILTER(_xlpm.listagem_versoes,_xlpm.listagem_versoes&lt;&gt;0)
)</f>
        <v>D</v>
      </c>
      <c r="TW8" s="346"/>
      <c r="TY8"/>
      <c r="UA8" s="15" t="str" cm="1">
        <f t="array" aca="1" ref="UA8:UA13" ca="1">_xlfn.LET(
     _xlpm.peca_sem_linha,
     IFERROR(TRIM(LEFT(UE1, MIN(IFERROR( SEARCH("LINE",UE1),100))-1)),UE1),
     _xlpm.listagem_versoes,
     _xlfn.XLOOKUP(_xlpm.peca_sem_linha,_xlfn.ANCHORARRAY('Correlations Tables'!$CR$18),INDIRECT("'Correlations Tables'!" &amp; "$CR$19:$" &amp; SUBSTITUTE(ADDRESS(1,COLUMNS(TRANSPOSE(tbl_products_lines[])) + 95,4),1,"") &amp; "$26"),"-"),
     _xlfn._xlws.FILTER(_xlpm.listagem_versoes,_xlpm.listagem_versoes&lt;&gt;0)
)</f>
        <v>A</v>
      </c>
      <c r="UE8" s="346"/>
      <c r="UG8"/>
      <c r="UI8" s="15" t="str" cm="1">
        <f t="array" aca="1" ref="UI8:UI13" ca="1">_xlfn.LET(
     _xlpm.peca_sem_linha,
     IFERROR(TRIM(LEFT(UM1, MIN(IFERROR( SEARCH("LINE",UM1),100))-1)),UM1),
     _xlpm.listagem_versoes,
     _xlfn.XLOOKUP(_xlpm.peca_sem_linha,_xlfn.ANCHORARRAY('Correlations Tables'!$CR$18),INDIRECT("'Correlations Tables'!" &amp; "$CR$19:$" &amp; SUBSTITUTE(ADDRESS(1,COLUMNS(TRANSPOSE(tbl_products_lines[])) + 95,4),1,"") &amp; "$26"),"-"),
     _xlfn._xlws.FILTER(_xlpm.listagem_versoes,_xlpm.listagem_versoes&lt;&gt;0)
)</f>
        <v>A</v>
      </c>
      <c r="UM8" s="346"/>
      <c r="UO8"/>
      <c r="UQ8" s="15" t="str" cm="1">
        <f t="array" aca="1" ref="UQ8:UQ13" ca="1">_xlfn.LET(
     _xlpm.peca_sem_linha,
     IFERROR(TRIM(LEFT(UU1, MIN(IFERROR( SEARCH("LINE",UU1),100))-1)),UU1),
     _xlpm.listagem_versoes,
     _xlfn.XLOOKUP(_xlpm.peca_sem_linha,_xlfn.ANCHORARRAY('Correlations Tables'!$CR$18),INDIRECT("'Correlations Tables'!" &amp; "$CR$19:$" &amp; SUBSTITUTE(ADDRESS(1,COLUMNS(TRANSPOSE(tbl_products_lines[])) + 95,4),1,"") &amp; "$26"),"-"),
     _xlfn._xlws.FILTER(_xlpm.listagem_versoes,_xlpm.listagem_versoes&lt;&gt;0)
)</f>
        <v>A</v>
      </c>
      <c r="UU8" s="346"/>
      <c r="UW8"/>
      <c r="UY8" s="15" t="str" cm="1">
        <f t="array" aca="1" ref="UY8:UY13" ca="1">_xlfn.LET(
     _xlpm.peca_sem_linha,
     IFERROR(TRIM(LEFT(VC1, MIN(IFERROR( SEARCH("LINE",VC1),100))-1)),VC1),
     _xlpm.listagem_versoes,
     _xlfn.XLOOKUP(_xlpm.peca_sem_linha,_xlfn.ANCHORARRAY('Correlations Tables'!$CR$18),INDIRECT("'Correlations Tables'!" &amp; "$CR$19:$" &amp; SUBSTITUTE(ADDRESS(1,COLUMNS(TRANSPOSE(tbl_products_lines[])) + 95,4),1,"") &amp; "$26"),"-"),
     _xlfn._xlws.FILTER(_xlpm.listagem_versoes,_xlpm.listagem_versoes&lt;&gt;0)
)</f>
        <v>A</v>
      </c>
      <c r="VC8" s="346"/>
      <c r="VE8"/>
      <c r="VG8" s="15" t="str" cm="1">
        <f t="array" aca="1" ref="VG8:VG11" ca="1">_xlfn.LET(
     _xlpm.peca_sem_linha,
     IFERROR(TRIM(LEFT(VK1, MIN(IFERROR( SEARCH("LINE",VK1),100))-1)),VK1),
     _xlpm.listagem_versoes,
     _xlfn.XLOOKUP(_xlpm.peca_sem_linha,_xlfn.ANCHORARRAY('Correlations Tables'!$CR$18),INDIRECT("'Correlations Tables'!" &amp; "$CR$19:$" &amp; SUBSTITUTE(ADDRESS(1,COLUMNS(TRANSPOSE(tbl_products_lines[])) + 95,4),1,"") &amp; "$26"),"-"),
     _xlfn._xlws.FILTER(_xlpm.listagem_versoes,_xlpm.listagem_versoes&lt;&gt;0)
)</f>
        <v>C</v>
      </c>
      <c r="VK8" s="346"/>
      <c r="VM8"/>
      <c r="VO8" s="15" t="str" cm="1">
        <f t="array" aca="1" ref="VO8:VO11" ca="1">_xlfn.LET(
     _xlpm.peca_sem_linha,
     IFERROR(TRIM(LEFT(VS1, MIN(IFERROR( SEARCH("LINE",VS1),100))-1)),VS1),
     _xlpm.listagem_versoes,
     _xlfn.XLOOKUP(_xlpm.peca_sem_linha,_xlfn.ANCHORARRAY('Correlations Tables'!$CR$18),INDIRECT("'Correlations Tables'!" &amp; "$CR$19:$" &amp; SUBSTITUTE(ADDRESS(1,COLUMNS(TRANSPOSE(tbl_products_lines[])) + 95,4),1,"") &amp; "$26"),"-"),
     _xlfn._xlws.FILTER(_xlpm.listagem_versoes,_xlpm.listagem_versoes&lt;&gt;0)
)</f>
        <v>C</v>
      </c>
      <c r="VS8" s="346"/>
    </row>
    <row r="9" spans="3:591" ht="13.5" thickBot="1" x14ac:dyDescent="0.45">
      <c r="C9" s="23" t="s">
        <v>26</v>
      </c>
      <c r="D9" s="6" t="s">
        <v>142</v>
      </c>
      <c r="E9" s="1"/>
      <c r="F9" s="19" t="s">
        <v>48</v>
      </c>
      <c r="G9" s="20" t="s">
        <v>79</v>
      </c>
      <c r="H9" s="20" t="s">
        <v>110</v>
      </c>
      <c r="I9" s="1"/>
      <c r="J9" s="1"/>
      <c r="K9" s="1"/>
      <c r="L9" s="1"/>
      <c r="M9" s="1"/>
      <c r="O9" s="346"/>
      <c r="Q9" s="23" t="s">
        <v>26</v>
      </c>
      <c r="R9" s="6" t="s">
        <v>143</v>
      </c>
      <c r="S9" s="1"/>
      <c r="T9" s="19" t="s">
        <v>48</v>
      </c>
      <c r="U9" s="20" t="s">
        <v>79</v>
      </c>
      <c r="V9" s="20" t="s">
        <v>110</v>
      </c>
      <c r="W9" s="1"/>
      <c r="X9" s="1"/>
      <c r="Y9" s="1"/>
      <c r="Z9" s="1"/>
      <c r="AA9" s="1"/>
      <c r="AC9" s="346"/>
      <c r="AE9" s="30" t="str">
        <f ca="1"/>
        <v>MERCEDEZ LE 300 Coupé Rear Axle LINE 2</v>
      </c>
      <c r="AF9" s="31">
        <f t="shared" ca="1" si="0"/>
        <v>1</v>
      </c>
      <c r="AG9" s="1"/>
      <c r="AH9" s="366"/>
      <c r="AJ9" s="11"/>
      <c r="AK9" s="87" t="s">
        <v>270</v>
      </c>
      <c r="AL9" s="11"/>
      <c r="AM9" s="358"/>
      <c r="AN9" s="359"/>
      <c r="AO9" s="359"/>
      <c r="AP9" s="359"/>
      <c r="AQ9" s="359"/>
      <c r="AR9" s="359"/>
      <c r="AS9" s="359"/>
      <c r="AT9" s="359"/>
      <c r="AU9" s="359"/>
      <c r="AV9" s="359"/>
      <c r="AW9" s="359"/>
      <c r="AX9" s="359"/>
      <c r="AY9" s="359"/>
      <c r="AZ9" s="12"/>
      <c r="BA9" s="12"/>
      <c r="BB9" s="12"/>
      <c r="BC9" s="12"/>
      <c r="BD9" s="12"/>
      <c r="BE9" s="12"/>
      <c r="BF9" s="12"/>
      <c r="BG9" s="12"/>
      <c r="BH9" s="12"/>
      <c r="BI9" s="12"/>
      <c r="BJ9" s="12"/>
      <c r="BK9" s="366"/>
      <c r="BO9" s="13" t="str">
        <f ca="1"/>
        <v>B</v>
      </c>
      <c r="BS9" s="346"/>
      <c r="BW9" s="13" t="str">
        <f ca="1"/>
        <v>B</v>
      </c>
      <c r="CA9" s="346"/>
      <c r="CE9" s="13" t="str">
        <f ca="1"/>
        <v>E</v>
      </c>
      <c r="CI9" s="346"/>
      <c r="CK9"/>
      <c r="CM9" s="13" t="str">
        <f ca="1"/>
        <v>B</v>
      </c>
      <c r="CQ9" s="346"/>
      <c r="CS9"/>
      <c r="CU9" s="13" t="str">
        <f ca="1"/>
        <v>B</v>
      </c>
      <c r="CY9" s="346"/>
      <c r="DA9"/>
      <c r="DC9" s="13" t="str">
        <f ca="1"/>
        <v>E</v>
      </c>
      <c r="DG9" s="346"/>
      <c r="DI9"/>
      <c r="DK9" s="13" t="str">
        <f ca="1"/>
        <v>B</v>
      </c>
      <c r="DO9" s="346"/>
      <c r="DQ9" s="159" t="s">
        <v>383</v>
      </c>
      <c r="DS9" s="13" t="str">
        <f ca="1"/>
        <v>B</v>
      </c>
      <c r="DW9" s="369"/>
      <c r="DY9"/>
      <c r="EA9" s="13" t="str">
        <f ca="1"/>
        <v>E</v>
      </c>
      <c r="EE9" s="346"/>
      <c r="EG9"/>
      <c r="EI9" s="13" t="str">
        <f ca="1"/>
        <v>F</v>
      </c>
      <c r="EM9" s="346"/>
      <c r="EO9"/>
      <c r="EQ9" s="13" t="str">
        <f ca="1"/>
        <v>D</v>
      </c>
      <c r="EU9" s="346"/>
      <c r="EW9"/>
      <c r="EY9" s="13" t="str">
        <f ca="1"/>
        <v>E</v>
      </c>
      <c r="FC9" s="369"/>
      <c r="FE9"/>
      <c r="FG9" s="13" t="str">
        <f ca="1"/>
        <v>B</v>
      </c>
      <c r="FK9" s="346"/>
      <c r="FM9"/>
      <c r="FO9" s="13" t="str">
        <f ca="1"/>
        <v>B</v>
      </c>
      <c r="FS9" s="346"/>
      <c r="FU9"/>
      <c r="FW9" s="13" t="str">
        <f ca="1"/>
        <v>E</v>
      </c>
      <c r="GA9" s="346"/>
      <c r="GC9"/>
      <c r="GE9" s="13" t="str">
        <f ca="1"/>
        <v>F</v>
      </c>
      <c r="GI9" s="346"/>
      <c r="GK9"/>
      <c r="GM9" s="13" t="str">
        <f ca="1"/>
        <v>D</v>
      </c>
      <c r="GQ9" s="346"/>
      <c r="GS9"/>
      <c r="GU9" s="13" t="str">
        <f ca="1"/>
        <v>E</v>
      </c>
      <c r="GY9" s="346"/>
      <c r="HA9"/>
      <c r="HC9" s="13" t="str">
        <f ca="1"/>
        <v>F</v>
      </c>
      <c r="HG9" s="346"/>
      <c r="HI9"/>
      <c r="HK9" s="13" t="str">
        <f ca="1"/>
        <v>F</v>
      </c>
      <c r="HO9" s="346"/>
      <c r="HQ9"/>
      <c r="HS9" s="13" t="str">
        <f ca="1"/>
        <v>D</v>
      </c>
      <c r="HW9" s="346"/>
      <c r="HY9"/>
      <c r="IA9" s="13" t="str">
        <f ca="1"/>
        <v>D</v>
      </c>
      <c r="IE9" s="346"/>
      <c r="IG9"/>
      <c r="II9" s="13" t="str">
        <f ca="1"/>
        <v>E</v>
      </c>
      <c r="IM9" s="346"/>
      <c r="IO9"/>
      <c r="IQ9" s="13" t="str">
        <f ca="1"/>
        <v>E</v>
      </c>
      <c r="IU9" s="346"/>
      <c r="IW9"/>
      <c r="IY9" s="13" t="str">
        <f ca="1"/>
        <v>F</v>
      </c>
      <c r="JC9" s="346"/>
      <c r="JE9"/>
      <c r="JG9" s="13" t="str">
        <f ca="1"/>
        <v>F</v>
      </c>
      <c r="JK9" s="346"/>
      <c r="JM9"/>
      <c r="JO9" s="13" t="str">
        <f ca="1"/>
        <v>D</v>
      </c>
      <c r="JS9" s="346"/>
      <c r="JU9"/>
      <c r="JW9" s="13" t="str">
        <f ca="1"/>
        <v>D</v>
      </c>
      <c r="KA9" s="346"/>
      <c r="KC9"/>
      <c r="KE9" s="13" t="str">
        <f ca="1"/>
        <v>E</v>
      </c>
      <c r="KI9" s="346"/>
      <c r="KK9"/>
      <c r="KM9" s="13" t="str">
        <f ca="1"/>
        <v>E</v>
      </c>
      <c r="KQ9" s="346"/>
      <c r="KS9"/>
      <c r="KU9" s="13" t="str">
        <f ca="1"/>
        <v>B</v>
      </c>
      <c r="KY9" s="346"/>
      <c r="LA9"/>
      <c r="LC9" s="13" t="str">
        <f ca="1"/>
        <v>B</v>
      </c>
      <c r="LG9" s="346"/>
      <c r="LI9"/>
      <c r="LK9" s="13" t="str">
        <f ca="1"/>
        <v>B</v>
      </c>
      <c r="LO9" s="346"/>
      <c r="LQ9"/>
      <c r="LS9" s="13" t="str">
        <f ca="1"/>
        <v>B</v>
      </c>
      <c r="LW9" s="346"/>
      <c r="LY9"/>
      <c r="MA9" s="13" t="str">
        <f ca="1"/>
        <v>D</v>
      </c>
      <c r="ME9" s="346"/>
      <c r="MG9"/>
      <c r="MI9" s="13" t="str">
        <f ca="1"/>
        <v>D</v>
      </c>
      <c r="MM9" s="346"/>
      <c r="MO9"/>
      <c r="MQ9" s="13" t="str">
        <f ca="1"/>
        <v>F</v>
      </c>
      <c r="MU9" s="346"/>
      <c r="MW9"/>
      <c r="MY9" s="13" t="str">
        <f ca="1"/>
        <v>F</v>
      </c>
      <c r="NC9" s="346"/>
      <c r="NE9"/>
      <c r="NG9" s="13" t="str">
        <f ca="1"/>
        <v>D</v>
      </c>
      <c r="NK9" s="346"/>
      <c r="NM9"/>
      <c r="NO9" s="13" t="str">
        <f ca="1"/>
        <v>D</v>
      </c>
      <c r="NS9" s="346"/>
      <c r="NU9"/>
      <c r="NW9" s="13" t="str">
        <f ca="1"/>
        <v>E</v>
      </c>
      <c r="OA9" s="346"/>
      <c r="OC9"/>
      <c r="OE9" s="13" t="str">
        <f ca="1"/>
        <v>E</v>
      </c>
      <c r="OI9" s="346"/>
      <c r="OK9"/>
      <c r="OM9" s="13" t="str">
        <f ca="1"/>
        <v>B</v>
      </c>
      <c r="OQ9" s="346"/>
      <c r="OS9"/>
      <c r="OU9" s="13" t="str">
        <f ca="1"/>
        <v>B</v>
      </c>
      <c r="OY9" s="346"/>
      <c r="PA9"/>
      <c r="PC9" s="13" t="str">
        <f ca="1"/>
        <v>B</v>
      </c>
      <c r="PG9" s="346"/>
      <c r="PI9"/>
      <c r="PK9" s="13" t="str">
        <f ca="1"/>
        <v>B</v>
      </c>
      <c r="PO9" s="346"/>
      <c r="PQ9"/>
      <c r="PS9" s="13" t="str">
        <f ca="1"/>
        <v>D</v>
      </c>
      <c r="PW9" s="346"/>
      <c r="PY9"/>
      <c r="QA9" s="13" t="str">
        <f ca="1"/>
        <v>D</v>
      </c>
      <c r="QE9" s="346"/>
      <c r="QG9"/>
      <c r="QI9" s="13" t="str">
        <f ca="1"/>
        <v>F</v>
      </c>
      <c r="QM9" s="346"/>
      <c r="QO9"/>
      <c r="QQ9" s="13" t="str">
        <f ca="1"/>
        <v>F</v>
      </c>
      <c r="QU9" s="346"/>
      <c r="QW9"/>
      <c r="QY9" s="13" t="str">
        <f ca="1"/>
        <v>D</v>
      </c>
      <c r="RC9" s="346"/>
      <c r="RE9"/>
      <c r="RG9" s="13" t="str">
        <f ca="1"/>
        <v>D</v>
      </c>
      <c r="RK9" s="346"/>
      <c r="RM9"/>
      <c r="RO9" s="13" t="str">
        <f ca="1"/>
        <v>F</v>
      </c>
      <c r="RS9" s="346"/>
      <c r="RU9"/>
      <c r="RW9" s="13" t="str">
        <f ca="1"/>
        <v>F</v>
      </c>
      <c r="SA9" s="346"/>
      <c r="SC9"/>
      <c r="SE9" s="13" t="str">
        <f ca="1"/>
        <v>F</v>
      </c>
      <c r="SI9" s="346"/>
      <c r="SK9"/>
      <c r="SM9" s="13" t="str">
        <f ca="1"/>
        <v>F</v>
      </c>
      <c r="SQ9" s="346"/>
      <c r="SS9"/>
      <c r="SU9" s="13" t="str">
        <f ca="1"/>
        <v>D</v>
      </c>
      <c r="SY9" s="346"/>
      <c r="TA9"/>
      <c r="TC9" s="13" t="str">
        <f ca="1"/>
        <v>D</v>
      </c>
      <c r="TG9" s="346"/>
      <c r="TI9"/>
      <c r="TK9" s="13" t="str">
        <f ca="1"/>
        <v>E</v>
      </c>
      <c r="TO9" s="346"/>
      <c r="TQ9"/>
      <c r="TS9" s="13" t="str">
        <f ca="1"/>
        <v>E</v>
      </c>
      <c r="TW9" s="346"/>
      <c r="TY9"/>
      <c r="UA9" s="13" t="str">
        <f ca="1"/>
        <v>B</v>
      </c>
      <c r="UE9" s="346"/>
      <c r="UG9"/>
      <c r="UI9" s="13" t="str">
        <f ca="1"/>
        <v>B</v>
      </c>
      <c r="UM9" s="346"/>
      <c r="UO9"/>
      <c r="UQ9" s="13" t="str">
        <f ca="1"/>
        <v>B</v>
      </c>
      <c r="UU9" s="346"/>
      <c r="UW9"/>
      <c r="UY9" s="13" t="str">
        <f ca="1"/>
        <v>B</v>
      </c>
      <c r="VC9" s="346"/>
      <c r="VE9"/>
      <c r="VG9" s="13" t="str">
        <f ca="1"/>
        <v>D</v>
      </c>
      <c r="VK9" s="346"/>
      <c r="VM9"/>
      <c r="VO9" s="13" t="str">
        <f ca="1"/>
        <v>D</v>
      </c>
      <c r="VS9" s="346"/>
    </row>
    <row r="10" spans="3:591" x14ac:dyDescent="0.4">
      <c r="C10" s="3"/>
      <c r="D10" s="3" t="s">
        <v>34</v>
      </c>
      <c r="E10" s="1"/>
      <c r="F10" s="19" t="s">
        <v>49</v>
      </c>
      <c r="G10" s="20" t="s">
        <v>80</v>
      </c>
      <c r="H10" s="20" t="s">
        <v>111</v>
      </c>
      <c r="I10" s="1"/>
      <c r="J10" s="1"/>
      <c r="K10" s="1"/>
      <c r="L10" s="1"/>
      <c r="M10" s="1"/>
      <c r="O10" s="346"/>
      <c r="Q10" s="3"/>
      <c r="R10" s="3" t="s">
        <v>34</v>
      </c>
      <c r="S10" s="1"/>
      <c r="T10" s="19" t="s">
        <v>49</v>
      </c>
      <c r="U10" s="20" t="s">
        <v>80</v>
      </c>
      <c r="V10" s="20" t="s">
        <v>111</v>
      </c>
      <c r="W10" s="1"/>
      <c r="X10" s="1"/>
      <c r="Y10" s="1"/>
      <c r="Z10" s="1"/>
      <c r="AA10" s="1"/>
      <c r="AC10" s="346"/>
      <c r="AE10" s="30" t="str">
        <f ca="1"/>
        <v>MERCEDEZ GLE 53 Front Axle LINE 1</v>
      </c>
      <c r="AF10" s="31">
        <f t="shared" ca="1" si="0"/>
        <v>1</v>
      </c>
      <c r="AG10" s="1"/>
      <c r="AH10" s="366"/>
      <c r="AJ10" s="11"/>
      <c r="AK10" s="87" t="s">
        <v>271</v>
      </c>
      <c r="AL10" s="11"/>
      <c r="AZ10" s="12"/>
      <c r="BA10" s="12"/>
      <c r="BB10" s="12"/>
      <c r="BC10" s="12"/>
      <c r="BD10" s="12"/>
      <c r="BE10" s="12"/>
      <c r="BF10" s="12"/>
      <c r="BG10" s="12"/>
      <c r="BH10" s="12"/>
      <c r="BI10" s="12"/>
      <c r="BJ10" s="12"/>
      <c r="BK10" s="366"/>
      <c r="BO10" s="13" t="str">
        <f ca="1"/>
        <v>C</v>
      </c>
      <c r="BS10" s="346"/>
      <c r="BW10" s="13" t="str">
        <f ca="1"/>
        <v>C</v>
      </c>
      <c r="CA10" s="346"/>
      <c r="CE10" s="13" t="str">
        <f ca="1"/>
        <v>F</v>
      </c>
      <c r="CI10" s="346"/>
      <c r="CK10"/>
      <c r="CM10" s="13" t="str">
        <f ca="1"/>
        <v>C</v>
      </c>
      <c r="CQ10" s="346"/>
      <c r="CS10"/>
      <c r="CU10" s="13" t="str">
        <f ca="1"/>
        <v>C</v>
      </c>
      <c r="CY10" s="346"/>
      <c r="DA10"/>
      <c r="DC10" s="13" t="str">
        <f ca="1"/>
        <v>F</v>
      </c>
      <c r="DG10" s="346"/>
      <c r="DI10"/>
      <c r="DK10" s="13" t="str">
        <f ca="1"/>
        <v>C</v>
      </c>
      <c r="DO10" s="346"/>
      <c r="DQ10" s="159" t="s">
        <v>384</v>
      </c>
      <c r="DS10" s="13" t="str">
        <f ca="1"/>
        <v>C</v>
      </c>
      <c r="DW10" s="369"/>
      <c r="DY10"/>
      <c r="EA10" s="13" t="str">
        <f ca="1"/>
        <v>F</v>
      </c>
      <c r="EE10" s="346"/>
      <c r="EG10"/>
      <c r="EI10" s="13"/>
      <c r="EM10" s="346"/>
      <c r="EO10"/>
      <c r="EQ10" s="13" t="str">
        <f ca="1"/>
        <v>E</v>
      </c>
      <c r="EU10" s="346"/>
      <c r="EW10"/>
      <c r="EY10" s="13" t="str">
        <f ca="1"/>
        <v>F</v>
      </c>
      <c r="FC10" s="369"/>
      <c r="FE10"/>
      <c r="FG10" s="13" t="str">
        <f ca="1"/>
        <v>C</v>
      </c>
      <c r="FK10" s="346"/>
      <c r="FM10"/>
      <c r="FO10" s="13" t="str">
        <f ca="1"/>
        <v>C</v>
      </c>
      <c r="FS10" s="346"/>
      <c r="FU10"/>
      <c r="FW10" s="13" t="str">
        <f ca="1"/>
        <v>F</v>
      </c>
      <c r="GA10" s="346"/>
      <c r="GC10"/>
      <c r="GE10" s="13"/>
      <c r="GI10" s="346"/>
      <c r="GK10"/>
      <c r="GM10" s="13" t="str">
        <f ca="1"/>
        <v>E</v>
      </c>
      <c r="GQ10" s="346"/>
      <c r="GS10"/>
      <c r="GU10" s="13" t="str">
        <f ca="1"/>
        <v>F</v>
      </c>
      <c r="GY10" s="346"/>
      <c r="HA10"/>
      <c r="HC10" s="13"/>
      <c r="HG10" s="346"/>
      <c r="HI10"/>
      <c r="HK10" s="13"/>
      <c r="HO10" s="346"/>
      <c r="HQ10"/>
      <c r="HS10" s="13" t="str">
        <f ca="1"/>
        <v>E</v>
      </c>
      <c r="HW10" s="346"/>
      <c r="HY10"/>
      <c r="IA10" s="13" t="str">
        <f ca="1"/>
        <v>E</v>
      </c>
      <c r="IE10" s="346"/>
      <c r="IG10"/>
      <c r="II10" s="13" t="str">
        <f ca="1"/>
        <v>F</v>
      </c>
      <c r="IM10" s="346"/>
      <c r="IO10"/>
      <c r="IQ10" s="13" t="str">
        <f ca="1"/>
        <v>F</v>
      </c>
      <c r="IU10" s="346"/>
      <c r="IW10"/>
      <c r="IY10" s="13"/>
      <c r="JC10" s="346"/>
      <c r="JE10"/>
      <c r="JG10" s="13"/>
      <c r="JK10" s="346"/>
      <c r="JM10"/>
      <c r="JO10" s="13" t="str">
        <f ca="1"/>
        <v>E</v>
      </c>
      <c r="JS10" s="346"/>
      <c r="JU10"/>
      <c r="JW10" s="13" t="str">
        <f ca="1"/>
        <v>E</v>
      </c>
      <c r="KA10" s="346"/>
      <c r="KC10"/>
      <c r="KE10" s="13" t="str">
        <f ca="1"/>
        <v>F</v>
      </c>
      <c r="KI10" s="346"/>
      <c r="KK10"/>
      <c r="KM10" s="13" t="str">
        <f ca="1"/>
        <v>F</v>
      </c>
      <c r="KQ10" s="346"/>
      <c r="KS10"/>
      <c r="KU10" s="13" t="str">
        <f ca="1"/>
        <v>C</v>
      </c>
      <c r="KY10" s="346"/>
      <c r="LA10"/>
      <c r="LC10" s="13" t="str">
        <f ca="1"/>
        <v>C</v>
      </c>
      <c r="LG10" s="346"/>
      <c r="LI10"/>
      <c r="LK10" s="13" t="str">
        <f ca="1"/>
        <v>C</v>
      </c>
      <c r="LO10" s="346"/>
      <c r="LQ10"/>
      <c r="LS10" s="13" t="str">
        <f ca="1"/>
        <v>C</v>
      </c>
      <c r="LW10" s="346"/>
      <c r="LY10"/>
      <c r="MA10" s="13" t="str">
        <f ca="1"/>
        <v>E</v>
      </c>
      <c r="ME10" s="346"/>
      <c r="MG10"/>
      <c r="MI10" s="13" t="str">
        <f ca="1"/>
        <v>E</v>
      </c>
      <c r="MM10" s="346"/>
      <c r="MO10"/>
      <c r="MQ10" s="13"/>
      <c r="MU10" s="346"/>
      <c r="MW10"/>
      <c r="MY10" s="13"/>
      <c r="NC10" s="346"/>
      <c r="NE10"/>
      <c r="NG10" s="13" t="str">
        <f ca="1"/>
        <v>E</v>
      </c>
      <c r="NK10" s="346"/>
      <c r="NM10"/>
      <c r="NO10" s="13" t="str">
        <f ca="1"/>
        <v>E</v>
      </c>
      <c r="NS10" s="346"/>
      <c r="NU10"/>
      <c r="NW10" s="13" t="str">
        <f ca="1"/>
        <v>F</v>
      </c>
      <c r="OA10" s="346"/>
      <c r="OC10"/>
      <c r="OE10" s="13" t="str">
        <f ca="1"/>
        <v>F</v>
      </c>
      <c r="OI10" s="346"/>
      <c r="OK10"/>
      <c r="OM10" s="13" t="str">
        <f ca="1"/>
        <v>C</v>
      </c>
      <c r="OQ10" s="346"/>
      <c r="OS10"/>
      <c r="OU10" s="13" t="str">
        <f ca="1"/>
        <v>C</v>
      </c>
      <c r="OY10" s="346"/>
      <c r="PA10"/>
      <c r="PC10" s="13" t="str">
        <f ca="1"/>
        <v>C</v>
      </c>
      <c r="PG10" s="346"/>
      <c r="PI10"/>
      <c r="PK10" s="13" t="str">
        <f ca="1"/>
        <v>C</v>
      </c>
      <c r="PO10" s="346"/>
      <c r="PQ10"/>
      <c r="PS10" s="13" t="str">
        <f ca="1"/>
        <v>E</v>
      </c>
      <c r="PW10" s="346"/>
      <c r="PY10"/>
      <c r="QA10" s="13" t="str">
        <f ca="1"/>
        <v>E</v>
      </c>
      <c r="QE10" s="346"/>
      <c r="QG10"/>
      <c r="QI10" s="13" t="str">
        <f ca="1"/>
        <v>HUD</v>
      </c>
      <c r="QM10" s="346"/>
      <c r="QO10"/>
      <c r="QQ10" s="13" t="str">
        <f ca="1"/>
        <v>HUD</v>
      </c>
      <c r="QU10" s="346"/>
      <c r="QW10"/>
      <c r="QY10" s="13" t="str">
        <f ca="1"/>
        <v>E</v>
      </c>
      <c r="RC10" s="346"/>
      <c r="RE10"/>
      <c r="RG10" s="13" t="str">
        <f ca="1"/>
        <v>E</v>
      </c>
      <c r="RK10" s="346"/>
      <c r="RM10"/>
      <c r="RO10" s="13" t="str">
        <f ca="1"/>
        <v>HUD</v>
      </c>
      <c r="RS10" s="346"/>
      <c r="RU10"/>
      <c r="RW10" s="13" t="str">
        <f ca="1"/>
        <v>HUD</v>
      </c>
      <c r="SA10" s="346"/>
      <c r="SC10"/>
      <c r="SE10" s="13"/>
      <c r="SI10" s="346"/>
      <c r="SK10"/>
      <c r="SM10" s="13"/>
      <c r="SQ10" s="346"/>
      <c r="SS10"/>
      <c r="SU10" s="13" t="str">
        <f ca="1"/>
        <v>E</v>
      </c>
      <c r="SY10" s="346"/>
      <c r="TA10"/>
      <c r="TC10" s="13" t="str">
        <f ca="1"/>
        <v>E</v>
      </c>
      <c r="TG10" s="346"/>
      <c r="TI10"/>
      <c r="TK10" s="13" t="str">
        <f ca="1"/>
        <v>F</v>
      </c>
      <c r="TO10" s="346"/>
      <c r="TQ10"/>
      <c r="TS10" s="13" t="str">
        <f ca="1"/>
        <v>F</v>
      </c>
      <c r="TW10" s="346"/>
      <c r="TY10"/>
      <c r="UA10" s="13" t="str">
        <f ca="1"/>
        <v>C</v>
      </c>
      <c r="UE10" s="346"/>
      <c r="UG10"/>
      <c r="UI10" s="13" t="str">
        <f ca="1"/>
        <v>C</v>
      </c>
      <c r="UM10" s="346"/>
      <c r="UO10"/>
      <c r="UQ10" s="13" t="str">
        <f ca="1"/>
        <v>C</v>
      </c>
      <c r="UU10" s="346"/>
      <c r="UW10"/>
      <c r="UY10" s="13" t="str">
        <f ca="1"/>
        <v>C</v>
      </c>
      <c r="VC10" s="346"/>
      <c r="VE10"/>
      <c r="VG10" s="13" t="str">
        <f ca="1"/>
        <v>E</v>
      </c>
      <c r="VK10" s="346"/>
      <c r="VM10"/>
      <c r="VO10" s="13" t="str">
        <f ca="1"/>
        <v>E</v>
      </c>
      <c r="VS10" s="346"/>
    </row>
    <row r="11" spans="3:591" x14ac:dyDescent="0.4">
      <c r="C11" s="1"/>
      <c r="D11" s="1"/>
      <c r="E11" s="1"/>
      <c r="F11" s="19" t="s">
        <v>50</v>
      </c>
      <c r="G11" s="20" t="s">
        <v>81</v>
      </c>
      <c r="H11" s="20" t="s">
        <v>112</v>
      </c>
      <c r="I11" s="1"/>
      <c r="J11" s="1"/>
      <c r="K11" s="1"/>
      <c r="L11" s="1"/>
      <c r="M11" s="1"/>
      <c r="O11" s="346"/>
      <c r="Q11" s="1"/>
      <c r="R11" s="1"/>
      <c r="S11" s="1"/>
      <c r="T11" s="19" t="s">
        <v>50</v>
      </c>
      <c r="U11" s="20" t="s">
        <v>81</v>
      </c>
      <c r="V11" s="20" t="s">
        <v>112</v>
      </c>
      <c r="W11" s="1"/>
      <c r="X11" s="1"/>
      <c r="Y11" s="1"/>
      <c r="Z11" s="1"/>
      <c r="AA11" s="1"/>
      <c r="AC11" s="346"/>
      <c r="AE11" s="30" t="str">
        <f ca="1"/>
        <v>MERCEDEZ GLE 580 Front Axle LINE 1</v>
      </c>
      <c r="AF11" s="31">
        <f t="shared" ca="1" si="0"/>
        <v>1</v>
      </c>
      <c r="AG11" s="1"/>
      <c r="AH11" s="366"/>
      <c r="AJ11" s="11"/>
      <c r="AK11" s="87" t="s">
        <v>272</v>
      </c>
      <c r="AL11" s="11"/>
      <c r="AZ11" s="12"/>
      <c r="BA11" s="12"/>
      <c r="BB11" s="12"/>
      <c r="BC11" s="12"/>
      <c r="BD11" s="12"/>
      <c r="BE11" s="12"/>
      <c r="BF11" s="12"/>
      <c r="BG11" s="12"/>
      <c r="BH11" s="12"/>
      <c r="BI11" s="12"/>
      <c r="BJ11" s="12"/>
      <c r="BK11" s="366"/>
      <c r="BO11" s="83" t="str">
        <f ca="1"/>
        <v>D</v>
      </c>
      <c r="BS11" s="346"/>
      <c r="BW11" s="83" t="str">
        <f ca="1"/>
        <v>D</v>
      </c>
      <c r="CA11" s="346"/>
      <c r="CE11" s="83"/>
      <c r="CI11" s="346"/>
      <c r="CM11" s="83" t="str">
        <f ca="1"/>
        <v>D</v>
      </c>
      <c r="CQ11" s="346"/>
      <c r="CU11" s="83" t="str">
        <f ca="1"/>
        <v>D</v>
      </c>
      <c r="CY11" s="346"/>
      <c r="DC11" s="83"/>
      <c r="DG11" s="346"/>
      <c r="DK11" s="83" t="str">
        <f ca="1"/>
        <v>D</v>
      </c>
      <c r="DO11" s="346"/>
      <c r="DQ11" s="160" t="s">
        <v>385</v>
      </c>
      <c r="DS11" s="83" t="str">
        <f ca="1"/>
        <v>D</v>
      </c>
      <c r="DW11" s="369"/>
      <c r="EA11" s="83"/>
      <c r="EE11" s="346"/>
      <c r="EI11" s="83"/>
      <c r="EM11" s="346"/>
      <c r="EQ11" s="83" t="str">
        <f ca="1"/>
        <v>F</v>
      </c>
      <c r="EU11" s="346"/>
      <c r="EY11" s="83"/>
      <c r="FC11" s="369"/>
      <c r="FG11" s="83" t="str">
        <f ca="1"/>
        <v>D</v>
      </c>
      <c r="FK11" s="346"/>
      <c r="FO11" s="83" t="str">
        <f ca="1"/>
        <v>D</v>
      </c>
      <c r="FS11" s="346"/>
      <c r="FW11" s="83"/>
      <c r="GA11" s="346"/>
      <c r="GE11" s="83"/>
      <c r="GI11" s="346"/>
      <c r="GM11" s="83" t="str">
        <f ca="1"/>
        <v>F</v>
      </c>
      <c r="GQ11" s="346"/>
      <c r="GU11" s="83"/>
      <c r="GY11" s="346"/>
      <c r="HC11" s="83"/>
      <c r="HG11" s="346"/>
      <c r="HK11" s="83"/>
      <c r="HO11" s="346"/>
      <c r="HS11" s="83" t="str">
        <f ca="1"/>
        <v>F</v>
      </c>
      <c r="HW11" s="346"/>
      <c r="IA11" s="83" t="str">
        <f ca="1"/>
        <v>F</v>
      </c>
      <c r="IE11" s="346"/>
      <c r="II11" s="83"/>
      <c r="IM11" s="346"/>
      <c r="IQ11" s="83"/>
      <c r="IU11" s="346"/>
      <c r="IY11" s="83"/>
      <c r="JC11" s="346"/>
      <c r="JG11" s="83"/>
      <c r="JK11" s="346"/>
      <c r="JO11" s="83" t="str">
        <f ca="1"/>
        <v>F</v>
      </c>
      <c r="JS11" s="346"/>
      <c r="JW11" s="83" t="str">
        <f ca="1"/>
        <v>F</v>
      </c>
      <c r="KA11" s="346"/>
      <c r="KE11" s="83"/>
      <c r="KI11" s="346"/>
      <c r="KM11" s="83"/>
      <c r="KQ11" s="346"/>
      <c r="KU11" s="83" t="str">
        <f ca="1"/>
        <v>D</v>
      </c>
      <c r="KY11" s="346"/>
      <c r="LC11" s="83" t="str">
        <f ca="1"/>
        <v>D</v>
      </c>
      <c r="LG11" s="346"/>
      <c r="LK11" s="83" t="str">
        <f ca="1"/>
        <v>D</v>
      </c>
      <c r="LO11" s="346"/>
      <c r="LS11" s="83" t="str">
        <f ca="1"/>
        <v>D</v>
      </c>
      <c r="LW11" s="346"/>
      <c r="MA11" s="83" t="str">
        <f ca="1"/>
        <v>F</v>
      </c>
      <c r="ME11" s="346"/>
      <c r="MI11" s="83" t="str">
        <f ca="1"/>
        <v>F</v>
      </c>
      <c r="MM11" s="346"/>
      <c r="MQ11" s="83"/>
      <c r="MU11" s="346"/>
      <c r="MY11" s="83"/>
      <c r="NC11" s="346"/>
      <c r="NG11" s="83" t="str">
        <f ca="1"/>
        <v>F</v>
      </c>
      <c r="NK11" s="346"/>
      <c r="NO11" s="83" t="str">
        <f ca="1"/>
        <v>F</v>
      </c>
      <c r="NS11" s="346"/>
      <c r="NW11" s="83"/>
      <c r="OA11" s="346"/>
      <c r="OE11" s="83"/>
      <c r="OI11" s="346"/>
      <c r="OM11" s="83" t="str">
        <f ca="1"/>
        <v>D</v>
      </c>
      <c r="OQ11" s="346"/>
      <c r="OU11" s="83" t="str">
        <f ca="1"/>
        <v>D</v>
      </c>
      <c r="OY11" s="346"/>
      <c r="PC11" s="83" t="str">
        <f ca="1"/>
        <v>D</v>
      </c>
      <c r="PG11" s="346"/>
      <c r="PK11" s="83" t="str">
        <f ca="1"/>
        <v>D</v>
      </c>
      <c r="PO11" s="346"/>
      <c r="PS11" s="83" t="str">
        <f ca="1"/>
        <v>F</v>
      </c>
      <c r="PW11" s="346"/>
      <c r="QA11" s="83" t="str">
        <f ca="1"/>
        <v>F</v>
      </c>
      <c r="QE11" s="346"/>
      <c r="QI11" s="83"/>
      <c r="QM11" s="346"/>
      <c r="QQ11" s="83"/>
      <c r="QU11" s="346"/>
      <c r="QY11" s="83" t="str">
        <f ca="1"/>
        <v>F</v>
      </c>
      <c r="RC11" s="346"/>
      <c r="RG11" s="83" t="str">
        <f ca="1"/>
        <v>F</v>
      </c>
      <c r="RK11" s="346"/>
      <c r="RO11" s="83"/>
      <c r="RS11" s="346"/>
      <c r="RW11" s="83"/>
      <c r="SA11" s="346"/>
      <c r="SE11" s="83"/>
      <c r="SI11" s="346"/>
      <c r="SM11" s="83"/>
      <c r="SQ11" s="346"/>
      <c r="SU11" s="83" t="str">
        <f ca="1"/>
        <v>F</v>
      </c>
      <c r="SY11" s="346"/>
      <c r="TC11" s="83" t="str">
        <f ca="1"/>
        <v>F</v>
      </c>
      <c r="TG11" s="346"/>
      <c r="TK11" s="83"/>
      <c r="TO11" s="346"/>
      <c r="TS11" s="83"/>
      <c r="TW11" s="346"/>
      <c r="UA11" s="83" t="str">
        <f ca="1"/>
        <v>D</v>
      </c>
      <c r="UE11" s="346"/>
      <c r="UI11" s="83" t="str">
        <f ca="1"/>
        <v>D</v>
      </c>
      <c r="UM11" s="346"/>
      <c r="UQ11" s="83" t="str">
        <f ca="1"/>
        <v>D</v>
      </c>
      <c r="UU11" s="346"/>
      <c r="UY11" s="83" t="str">
        <f ca="1"/>
        <v>D</v>
      </c>
      <c r="VC11" s="346"/>
      <c r="VG11" s="83" t="str">
        <f ca="1"/>
        <v>F</v>
      </c>
      <c r="VK11" s="346"/>
      <c r="VO11" s="83" t="str">
        <f ca="1"/>
        <v>F</v>
      </c>
      <c r="VS11" s="346"/>
    </row>
    <row r="12" spans="3:591" x14ac:dyDescent="0.4">
      <c r="C12" s="1"/>
      <c r="D12" s="1"/>
      <c r="E12" s="1"/>
      <c r="F12" s="19" t="s">
        <v>51</v>
      </c>
      <c r="G12" s="20" t="s">
        <v>82</v>
      </c>
      <c r="H12" s="20" t="s">
        <v>113</v>
      </c>
      <c r="I12" s="1"/>
      <c r="J12" s="1"/>
      <c r="K12" s="1"/>
      <c r="L12" s="1"/>
      <c r="M12" s="1"/>
      <c r="O12" s="346"/>
      <c r="Q12" s="1"/>
      <c r="R12" s="1"/>
      <c r="S12" s="1"/>
      <c r="T12" s="19" t="s">
        <v>51</v>
      </c>
      <c r="U12" s="20" t="s">
        <v>82</v>
      </c>
      <c r="V12" s="20" t="s">
        <v>113</v>
      </c>
      <c r="W12" s="1"/>
      <c r="X12" s="1"/>
      <c r="Y12" s="1"/>
      <c r="Z12" s="1"/>
      <c r="AA12" s="1"/>
      <c r="AC12" s="346"/>
      <c r="AE12" s="30" t="str">
        <f ca="1"/>
        <v>MERCEDEZ LE 300 Coupé Front Axle LINE 1</v>
      </c>
      <c r="AF12" s="31">
        <f t="shared" ca="1" si="0"/>
        <v>1</v>
      </c>
      <c r="AG12" s="1"/>
      <c r="AH12" s="366"/>
      <c r="AJ12" s="11"/>
      <c r="AK12" s="87" t="s">
        <v>273</v>
      </c>
      <c r="AL12" s="11"/>
      <c r="AM12" s="87" t="s">
        <v>270</v>
      </c>
      <c r="AN12" s="87" t="s">
        <v>271</v>
      </c>
      <c r="AO12" s="87" t="s">
        <v>272</v>
      </c>
      <c r="AP12" s="87" t="s">
        <v>273</v>
      </c>
      <c r="AQ12" s="87" t="s">
        <v>274</v>
      </c>
      <c r="AR12" s="87" t="s">
        <v>275</v>
      </c>
      <c r="AS12" s="87" t="s">
        <v>276</v>
      </c>
      <c r="AT12" s="87" t="s">
        <v>277</v>
      </c>
      <c r="AU12" s="87" t="s">
        <v>278</v>
      </c>
      <c r="AV12" s="87" t="s">
        <v>279</v>
      </c>
      <c r="AW12" s="87" t="s">
        <v>280</v>
      </c>
      <c r="AX12" s="87" t="s">
        <v>281</v>
      </c>
      <c r="AY12" s="87" t="s">
        <v>282</v>
      </c>
      <c r="AZ12" s="87" t="s">
        <v>283</v>
      </c>
      <c r="BA12" s="87" t="s">
        <v>284</v>
      </c>
      <c r="BB12" s="87" t="s">
        <v>285</v>
      </c>
      <c r="BC12" s="87" t="s">
        <v>286</v>
      </c>
      <c r="BD12" s="87" t="s">
        <v>287</v>
      </c>
      <c r="BE12" s="87" t="s">
        <v>288</v>
      </c>
      <c r="BF12" s="12"/>
      <c r="BG12" s="12"/>
      <c r="BH12" s="12"/>
      <c r="BI12" s="12"/>
      <c r="BJ12" s="12"/>
      <c r="BK12" s="366"/>
      <c r="BO12" s="83" t="str">
        <f ca="1"/>
        <v>E</v>
      </c>
      <c r="BS12" s="346"/>
      <c r="BW12" s="83" t="str">
        <f ca="1"/>
        <v>E</v>
      </c>
      <c r="CA12" s="346"/>
      <c r="CE12" s="83"/>
      <c r="CI12" s="346"/>
      <c r="CM12" s="83" t="str">
        <f ca="1"/>
        <v>E</v>
      </c>
      <c r="CQ12" s="346"/>
      <c r="CU12" s="83" t="str">
        <f ca="1"/>
        <v>E</v>
      </c>
      <c r="CY12" s="346"/>
      <c r="DC12" s="83"/>
      <c r="DG12" s="346"/>
      <c r="DK12" s="83" t="str">
        <f ca="1"/>
        <v>E</v>
      </c>
      <c r="DO12" s="346"/>
      <c r="DQ12" s="160" t="s">
        <v>386</v>
      </c>
      <c r="DS12" s="83" t="str">
        <f ca="1"/>
        <v>E</v>
      </c>
      <c r="DW12" s="369"/>
      <c r="EA12" s="83"/>
      <c r="EE12" s="346"/>
      <c r="EI12" s="83"/>
      <c r="EM12" s="346"/>
      <c r="EQ12" s="83"/>
      <c r="EU12" s="346"/>
      <c r="EY12" s="83"/>
      <c r="FC12" s="369"/>
      <c r="FG12" s="83" t="str">
        <f ca="1"/>
        <v>E</v>
      </c>
      <c r="FK12" s="346"/>
      <c r="FO12" s="83" t="str">
        <f ca="1"/>
        <v>E</v>
      </c>
      <c r="FS12" s="346"/>
      <c r="FW12" s="83"/>
      <c r="GA12" s="346"/>
      <c r="GE12" s="83"/>
      <c r="GI12" s="346"/>
      <c r="GM12" s="83"/>
      <c r="GQ12" s="346"/>
      <c r="GU12" s="83"/>
      <c r="GY12" s="346"/>
      <c r="HC12" s="83"/>
      <c r="HG12" s="346"/>
      <c r="HK12" s="83"/>
      <c r="HO12" s="346"/>
      <c r="HS12" s="83"/>
      <c r="HW12" s="346"/>
      <c r="IA12" s="83"/>
      <c r="IE12" s="346"/>
      <c r="II12" s="83"/>
      <c r="IM12" s="346"/>
      <c r="IQ12" s="83"/>
      <c r="IU12" s="346"/>
      <c r="IY12" s="83"/>
      <c r="JC12" s="346"/>
      <c r="JG12" s="83"/>
      <c r="JK12" s="346"/>
      <c r="JO12" s="83"/>
      <c r="JS12" s="346"/>
      <c r="JW12" s="83"/>
      <c r="KA12" s="346"/>
      <c r="KE12" s="83"/>
      <c r="KI12" s="346"/>
      <c r="KM12" s="83"/>
      <c r="KQ12" s="346"/>
      <c r="KU12" s="83" t="str">
        <f ca="1"/>
        <v>E</v>
      </c>
      <c r="KY12" s="346"/>
      <c r="LC12" s="83" t="str">
        <f ca="1"/>
        <v>E</v>
      </c>
      <c r="LG12" s="346"/>
      <c r="LK12" s="83" t="str">
        <f ca="1"/>
        <v>E</v>
      </c>
      <c r="LO12" s="346"/>
      <c r="LS12" s="83" t="str">
        <f ca="1"/>
        <v>E</v>
      </c>
      <c r="LW12" s="346"/>
      <c r="MA12" s="83"/>
      <c r="ME12" s="346"/>
      <c r="MI12" s="83"/>
      <c r="MM12" s="346"/>
      <c r="MQ12" s="83"/>
      <c r="MU12" s="346"/>
      <c r="MY12" s="83"/>
      <c r="NC12" s="346"/>
      <c r="NG12" s="83"/>
      <c r="NK12" s="346"/>
      <c r="NO12" s="83"/>
      <c r="NS12" s="346"/>
      <c r="NW12" s="83"/>
      <c r="OA12" s="346"/>
      <c r="OE12" s="83"/>
      <c r="OI12" s="346"/>
      <c r="OM12" s="83" t="str">
        <f ca="1"/>
        <v>E</v>
      </c>
      <c r="OQ12" s="346"/>
      <c r="OU12" s="83" t="str">
        <f ca="1"/>
        <v>E</v>
      </c>
      <c r="OY12" s="346"/>
      <c r="PC12" s="83" t="str">
        <f ca="1"/>
        <v>E</v>
      </c>
      <c r="PG12" s="346"/>
      <c r="PK12" s="83" t="str">
        <f ca="1"/>
        <v>E</v>
      </c>
      <c r="PO12" s="346"/>
      <c r="PS12" s="83" t="str">
        <f ca="1"/>
        <v>HUD</v>
      </c>
      <c r="PW12" s="346"/>
      <c r="QA12" s="83" t="str">
        <f ca="1"/>
        <v>HUD</v>
      </c>
      <c r="QE12" s="346"/>
      <c r="QI12" s="83"/>
      <c r="QM12" s="346"/>
      <c r="QQ12" s="83"/>
      <c r="QU12" s="346"/>
      <c r="QY12" s="83" t="str">
        <f ca="1"/>
        <v>HUD</v>
      </c>
      <c r="RC12" s="346"/>
      <c r="RG12" s="83" t="str">
        <f ca="1"/>
        <v>HUD</v>
      </c>
      <c r="RK12" s="346"/>
      <c r="RO12" s="83"/>
      <c r="RS12" s="346"/>
      <c r="RW12" s="83"/>
      <c r="SA12" s="346"/>
      <c r="SE12" s="83"/>
      <c r="SI12" s="346"/>
      <c r="SM12" s="83"/>
      <c r="SQ12" s="346"/>
      <c r="SU12" s="83"/>
      <c r="SY12" s="346"/>
      <c r="TC12" s="83"/>
      <c r="TG12" s="346"/>
      <c r="TK12" s="83"/>
      <c r="TO12" s="346"/>
      <c r="TS12" s="83"/>
      <c r="TW12" s="346"/>
      <c r="UA12" s="83" t="str">
        <f ca="1"/>
        <v>E</v>
      </c>
      <c r="UE12" s="346"/>
      <c r="UI12" s="83" t="str">
        <f ca="1"/>
        <v>E</v>
      </c>
      <c r="UM12" s="346"/>
      <c r="UQ12" s="83" t="str">
        <f ca="1"/>
        <v>E</v>
      </c>
      <c r="UU12" s="346"/>
      <c r="UY12" s="83" t="str">
        <f ca="1"/>
        <v>E</v>
      </c>
      <c r="VC12" s="346"/>
      <c r="VG12" s="83"/>
      <c r="VK12" s="346"/>
      <c r="VO12" s="83"/>
      <c r="VS12" s="346"/>
    </row>
    <row r="13" spans="3:591" x14ac:dyDescent="0.4">
      <c r="C13" s="1"/>
      <c r="D13" s="6"/>
      <c r="E13" s="6"/>
      <c r="F13" s="19" t="s">
        <v>52</v>
      </c>
      <c r="G13" s="20" t="s">
        <v>83</v>
      </c>
      <c r="H13" s="20" t="s">
        <v>114</v>
      </c>
      <c r="I13" s="1"/>
      <c r="J13" s="1"/>
      <c r="K13" s="1"/>
      <c r="L13" s="1"/>
      <c r="M13" s="1"/>
      <c r="O13" s="346"/>
      <c r="Q13" s="1"/>
      <c r="R13" s="1"/>
      <c r="S13" s="1"/>
      <c r="T13" s="19" t="s">
        <v>52</v>
      </c>
      <c r="U13" s="20" t="s">
        <v>83</v>
      </c>
      <c r="V13" s="20" t="s">
        <v>114</v>
      </c>
      <c r="W13" s="1"/>
      <c r="X13" s="1"/>
      <c r="Y13" s="1"/>
      <c r="Z13" s="1"/>
      <c r="AA13" s="1"/>
      <c r="AC13" s="346"/>
      <c r="AE13" s="30" t="str">
        <f ca="1"/>
        <v>MERCEDEZ GLE 53 Rear Bumper LINE 1</v>
      </c>
      <c r="AF13" s="31">
        <f t="shared" ca="1" si="0"/>
        <v>1</v>
      </c>
      <c r="AG13" s="1"/>
      <c r="AH13" s="366"/>
      <c r="AJ13" s="11"/>
      <c r="AK13" s="87" t="s">
        <v>274</v>
      </c>
      <c r="AL13" s="11"/>
      <c r="AM13" s="6" t="s">
        <v>289</v>
      </c>
      <c r="AN13" s="12" t="s">
        <v>294</v>
      </c>
      <c r="AO13" s="6" t="s">
        <v>299</v>
      </c>
      <c r="AP13" s="6" t="s">
        <v>305</v>
      </c>
      <c r="AQ13" s="6" t="s">
        <v>309</v>
      </c>
      <c r="AR13" s="6" t="s">
        <v>316</v>
      </c>
      <c r="AS13" s="6" t="s">
        <v>319</v>
      </c>
      <c r="AT13" s="6" t="s">
        <v>324</v>
      </c>
      <c r="AU13" s="6" t="s">
        <v>327</v>
      </c>
      <c r="AV13" s="6" t="s">
        <v>330</v>
      </c>
      <c r="AW13" s="6" t="s">
        <v>334</v>
      </c>
      <c r="AX13" s="6" t="s">
        <v>338</v>
      </c>
      <c r="AY13" s="6" t="s">
        <v>341</v>
      </c>
      <c r="AZ13" s="6" t="s">
        <v>343</v>
      </c>
      <c r="BA13" s="6" t="s">
        <v>346</v>
      </c>
      <c r="BB13" s="6" t="s">
        <v>349</v>
      </c>
      <c r="BC13" s="6" t="s">
        <v>352</v>
      </c>
      <c r="BD13" s="6" t="s">
        <v>355</v>
      </c>
      <c r="BE13" s="6" t="s">
        <v>358</v>
      </c>
      <c r="BF13" s="12"/>
      <c r="BG13" s="12"/>
      <c r="BH13" s="12"/>
      <c r="BI13" s="12"/>
      <c r="BJ13" s="12"/>
      <c r="BK13" s="366"/>
      <c r="BO13" s="84" t="str">
        <f ca="1"/>
        <v>F</v>
      </c>
      <c r="BS13" s="346"/>
      <c r="BW13" s="84" t="str">
        <f ca="1"/>
        <v>F</v>
      </c>
      <c r="CA13" s="346"/>
      <c r="CE13" s="84"/>
      <c r="CI13" s="346"/>
      <c r="CM13" s="84" t="str">
        <f ca="1"/>
        <v>F</v>
      </c>
      <c r="CQ13" s="346"/>
      <c r="CU13" s="84" t="str">
        <f ca="1"/>
        <v>F</v>
      </c>
      <c r="CY13" s="346"/>
      <c r="DC13" s="84"/>
      <c r="DG13" s="346"/>
      <c r="DK13" s="84" t="str">
        <f ca="1"/>
        <v>F</v>
      </c>
      <c r="DO13" s="346"/>
      <c r="DS13" s="84" t="str">
        <f ca="1"/>
        <v>F</v>
      </c>
      <c r="DW13" s="369"/>
      <c r="EA13" s="84"/>
      <c r="EE13" s="346"/>
      <c r="EI13" s="84"/>
      <c r="EM13" s="346"/>
      <c r="EQ13" s="84"/>
      <c r="EU13" s="346"/>
      <c r="EY13" s="84"/>
      <c r="FC13" s="369"/>
      <c r="FG13" s="84" t="str">
        <f ca="1"/>
        <v>F</v>
      </c>
      <c r="FK13" s="346"/>
      <c r="FO13" s="84" t="str">
        <f ca="1"/>
        <v>F</v>
      </c>
      <c r="FS13" s="346"/>
      <c r="FW13" s="84"/>
      <c r="GA13" s="346"/>
      <c r="GE13" s="84"/>
      <c r="GI13" s="346"/>
      <c r="GM13" s="84"/>
      <c r="GQ13" s="346"/>
      <c r="GU13" s="84"/>
      <c r="GY13" s="346"/>
      <c r="HC13" s="84"/>
      <c r="HG13" s="346"/>
      <c r="HK13" s="84"/>
      <c r="HO13" s="346"/>
      <c r="HS13" s="84"/>
      <c r="HW13" s="346"/>
      <c r="IA13" s="84"/>
      <c r="IE13" s="346"/>
      <c r="II13" s="84"/>
      <c r="IM13" s="346"/>
      <c r="IQ13" s="84"/>
      <c r="IU13" s="346"/>
      <c r="IY13" s="84"/>
      <c r="JC13" s="346"/>
      <c r="JG13" s="84"/>
      <c r="JK13" s="346"/>
      <c r="JO13" s="84"/>
      <c r="JS13" s="346"/>
      <c r="JW13" s="84"/>
      <c r="KA13" s="346"/>
      <c r="KE13" s="84"/>
      <c r="KI13" s="346"/>
      <c r="KM13" s="84"/>
      <c r="KQ13" s="346"/>
      <c r="KU13" s="84" t="str">
        <f ca="1"/>
        <v>F</v>
      </c>
      <c r="KY13" s="346"/>
      <c r="LC13" s="84" t="str">
        <f ca="1"/>
        <v>F</v>
      </c>
      <c r="LG13" s="346"/>
      <c r="LK13" s="84" t="str">
        <f ca="1"/>
        <v>F</v>
      </c>
      <c r="LO13" s="346"/>
      <c r="LS13" s="84" t="str">
        <f ca="1"/>
        <v>F</v>
      </c>
      <c r="LW13" s="346"/>
      <c r="MA13" s="84"/>
      <c r="ME13" s="346"/>
      <c r="MI13" s="84"/>
      <c r="MM13" s="346"/>
      <c r="MQ13" s="84"/>
      <c r="MU13" s="346"/>
      <c r="MY13" s="84"/>
      <c r="NC13" s="346"/>
      <c r="NG13" s="84"/>
      <c r="NK13" s="346"/>
      <c r="NO13" s="84"/>
      <c r="NS13" s="346"/>
      <c r="NW13" s="84"/>
      <c r="OA13" s="346"/>
      <c r="OE13" s="84"/>
      <c r="OI13" s="346"/>
      <c r="OM13" s="84" t="str">
        <f ca="1"/>
        <v>F</v>
      </c>
      <c r="OQ13" s="346"/>
      <c r="OU13" s="84" t="str">
        <f ca="1"/>
        <v>F</v>
      </c>
      <c r="OY13" s="346"/>
      <c r="PC13" s="84" t="str">
        <f ca="1"/>
        <v>F</v>
      </c>
      <c r="PG13" s="346"/>
      <c r="PK13" s="84" t="str">
        <f ca="1"/>
        <v>F</v>
      </c>
      <c r="PO13" s="346"/>
      <c r="PS13" s="84"/>
      <c r="PW13" s="346"/>
      <c r="QA13" s="84"/>
      <c r="QE13" s="346"/>
      <c r="QI13" s="84"/>
      <c r="QM13" s="346"/>
      <c r="QQ13" s="84"/>
      <c r="QU13" s="346"/>
      <c r="QY13" s="84"/>
      <c r="RC13" s="346"/>
      <c r="RG13" s="84"/>
      <c r="RK13" s="346"/>
      <c r="RO13" s="84"/>
      <c r="RS13" s="346"/>
      <c r="RW13" s="84"/>
      <c r="SA13" s="346"/>
      <c r="SE13" s="84"/>
      <c r="SI13" s="346"/>
      <c r="SM13" s="84"/>
      <c r="SQ13" s="346"/>
      <c r="SU13" s="84"/>
      <c r="SY13" s="346"/>
      <c r="TC13" s="84"/>
      <c r="TG13" s="346"/>
      <c r="TK13" s="84"/>
      <c r="TO13" s="346"/>
      <c r="TS13" s="84"/>
      <c r="TW13" s="346"/>
      <c r="UA13" s="84" t="str">
        <f ca="1"/>
        <v>F</v>
      </c>
      <c r="UE13" s="346"/>
      <c r="UI13" s="84" t="str">
        <f ca="1"/>
        <v>F</v>
      </c>
      <c r="UM13" s="346"/>
      <c r="UQ13" s="84" t="str">
        <f ca="1"/>
        <v>F</v>
      </c>
      <c r="UU13" s="346"/>
      <c r="UY13" s="84" t="str">
        <f ca="1"/>
        <v>F</v>
      </c>
      <c r="VC13" s="346"/>
      <c r="VG13" s="84"/>
      <c r="VK13" s="346"/>
      <c r="VO13" s="84"/>
      <c r="VS13" s="346"/>
    </row>
    <row r="14" spans="3:591" x14ac:dyDescent="0.4">
      <c r="C14" s="1"/>
      <c r="D14" s="1"/>
      <c r="E14" s="1"/>
      <c r="F14" s="19" t="s">
        <v>53</v>
      </c>
      <c r="G14" s="20" t="s">
        <v>84</v>
      </c>
      <c r="H14" s="20" t="s">
        <v>115</v>
      </c>
      <c r="I14" s="1"/>
      <c r="J14" s="1"/>
      <c r="K14" s="1"/>
      <c r="L14" s="1"/>
      <c r="M14" s="1"/>
      <c r="O14" s="346"/>
      <c r="Q14" s="6"/>
      <c r="R14" s="6"/>
      <c r="S14" s="6"/>
      <c r="T14" s="19" t="s">
        <v>53</v>
      </c>
      <c r="U14" s="20" t="s">
        <v>84</v>
      </c>
      <c r="V14" s="20" t="s">
        <v>115</v>
      </c>
      <c r="W14" s="1"/>
      <c r="X14" s="1"/>
      <c r="Y14" s="1"/>
      <c r="Z14" s="1"/>
      <c r="AA14" s="1"/>
      <c r="AC14" s="346"/>
      <c r="AE14" s="30" t="str">
        <f ca="1"/>
        <v>MERCEDEZ GLE 580 Rear Bumper LINE 1</v>
      </c>
      <c r="AF14" s="31">
        <f t="shared" ca="1" si="0"/>
        <v>1</v>
      </c>
      <c r="AG14" s="1"/>
      <c r="AH14" s="366"/>
      <c r="AJ14" s="11"/>
      <c r="AK14" s="87" t="s">
        <v>275</v>
      </c>
      <c r="AL14" s="11"/>
      <c r="AM14" s="6" t="s">
        <v>290</v>
      </c>
      <c r="AN14" s="12" t="s">
        <v>295</v>
      </c>
      <c r="AO14" s="6" t="s">
        <v>300</v>
      </c>
      <c r="AP14" s="6" t="s">
        <v>306</v>
      </c>
      <c r="AQ14" s="6" t="s">
        <v>310</v>
      </c>
      <c r="AR14" s="6" t="s">
        <v>317</v>
      </c>
      <c r="AS14" s="6" t="s">
        <v>320</v>
      </c>
      <c r="AT14" s="6" t="s">
        <v>325</v>
      </c>
      <c r="AU14" s="6" t="s">
        <v>328</v>
      </c>
      <c r="AV14" s="6" t="s">
        <v>331</v>
      </c>
      <c r="AW14" s="6" t="s">
        <v>335</v>
      </c>
      <c r="AX14" s="6" t="s">
        <v>339</v>
      </c>
      <c r="AY14" s="6" t="s">
        <v>342</v>
      </c>
      <c r="AZ14" s="6" t="s">
        <v>344</v>
      </c>
      <c r="BA14" s="6" t="s">
        <v>347</v>
      </c>
      <c r="BB14" s="6" t="s">
        <v>350</v>
      </c>
      <c r="BC14" s="6" t="s">
        <v>353</v>
      </c>
      <c r="BD14" s="6" t="s">
        <v>356</v>
      </c>
      <c r="BE14" s="6" t="s">
        <v>359</v>
      </c>
      <c r="BF14" s="12"/>
      <c r="BG14" s="12"/>
      <c r="BH14" s="12"/>
      <c r="BI14" s="12"/>
      <c r="BJ14" s="12"/>
      <c r="BK14" s="366"/>
      <c r="BS14" s="346"/>
      <c r="CA14" s="346"/>
      <c r="CI14" s="346"/>
      <c r="CQ14" s="346"/>
      <c r="CY14" s="346"/>
      <c r="DG14" s="346"/>
      <c r="DO14" s="346"/>
      <c r="DW14" s="369"/>
      <c r="EE14" s="346"/>
      <c r="EM14" s="346"/>
      <c r="EU14" s="346"/>
      <c r="FC14" s="369"/>
      <c r="FK14" s="346"/>
      <c r="FS14" s="346"/>
      <c r="GA14" s="346"/>
      <c r="GI14" s="346"/>
      <c r="GQ14" s="346"/>
      <c r="GY14" s="346"/>
      <c r="HG14" s="346"/>
      <c r="HO14" s="346"/>
      <c r="HW14" s="346"/>
      <c r="IE14" s="346"/>
      <c r="IM14" s="346"/>
      <c r="IU14" s="346"/>
      <c r="JC14" s="346"/>
      <c r="JK14" s="346"/>
      <c r="JS14" s="346"/>
      <c r="KA14" s="346"/>
      <c r="KI14" s="346"/>
      <c r="KQ14" s="346"/>
      <c r="KY14" s="346"/>
      <c r="LG14" s="346"/>
      <c r="LO14" s="346"/>
      <c r="LW14" s="346"/>
      <c r="ME14" s="346"/>
      <c r="MM14" s="346"/>
      <c r="MU14" s="346"/>
      <c r="NC14" s="346"/>
      <c r="NK14" s="346"/>
      <c r="NS14" s="346"/>
      <c r="OA14" s="346"/>
      <c r="OI14" s="346"/>
      <c r="OM14" s="4" t="str">
        <f ca="1"/>
        <v>HUD</v>
      </c>
      <c r="OQ14" s="346"/>
      <c r="OU14" s="4" t="str">
        <f ca="1"/>
        <v>HUD</v>
      </c>
      <c r="OY14" s="346"/>
      <c r="PC14" s="4" t="str">
        <f ca="1"/>
        <v>HUD</v>
      </c>
      <c r="PG14" s="346"/>
      <c r="PK14" s="4" t="str">
        <f ca="1"/>
        <v>HUD</v>
      </c>
      <c r="PO14" s="346"/>
      <c r="PW14" s="346"/>
      <c r="QE14" s="346"/>
      <c r="QM14" s="346"/>
      <c r="QU14" s="346"/>
      <c r="RC14" s="346"/>
      <c r="RK14" s="346"/>
      <c r="RS14" s="346"/>
      <c r="SA14" s="346"/>
      <c r="SI14" s="346"/>
      <c r="SQ14" s="346"/>
      <c r="SY14" s="346"/>
      <c r="TG14" s="346"/>
      <c r="TO14" s="346"/>
      <c r="TW14" s="346"/>
      <c r="UE14" s="346"/>
      <c r="UM14" s="346"/>
      <c r="UU14" s="346"/>
      <c r="VC14" s="346"/>
      <c r="VK14" s="346"/>
      <c r="VS14" s="346"/>
    </row>
    <row r="15" spans="3:591" x14ac:dyDescent="0.4">
      <c r="C15" s="1"/>
      <c r="D15" s="1"/>
      <c r="E15" s="1"/>
      <c r="F15" s="19" t="s">
        <v>54</v>
      </c>
      <c r="G15" s="20" t="s">
        <v>85</v>
      </c>
      <c r="H15" s="20" t="s">
        <v>116</v>
      </c>
      <c r="I15" s="1"/>
      <c r="J15" s="1"/>
      <c r="K15" s="1"/>
      <c r="L15" s="1"/>
      <c r="M15" s="1"/>
      <c r="O15" s="346"/>
      <c r="Q15" s="1"/>
      <c r="R15" s="1"/>
      <c r="S15" s="1"/>
      <c r="T15" s="19" t="s">
        <v>54</v>
      </c>
      <c r="U15" s="20" t="s">
        <v>85</v>
      </c>
      <c r="V15" s="20" t="s">
        <v>116</v>
      </c>
      <c r="W15" s="1"/>
      <c r="X15" s="1"/>
      <c r="Y15" s="1"/>
      <c r="Z15" s="1"/>
      <c r="AA15" s="1"/>
      <c r="AC15" s="346"/>
      <c r="AE15" s="30" t="str">
        <f ca="1"/>
        <v>MERCEDEZ LE 300 Coupé Rear Bumper LINE 3</v>
      </c>
      <c r="AF15" s="31">
        <f t="shared" ca="1" si="0"/>
        <v>1</v>
      </c>
      <c r="AG15" s="1"/>
      <c r="AH15" s="366"/>
      <c r="AJ15" s="11"/>
      <c r="AK15" s="87" t="s">
        <v>276</v>
      </c>
      <c r="AL15" s="11"/>
      <c r="AM15" s="6" t="s">
        <v>291</v>
      </c>
      <c r="AN15" s="12" t="s">
        <v>296</v>
      </c>
      <c r="AO15" s="6" t="s">
        <v>301</v>
      </c>
      <c r="AP15" s="6" t="s">
        <v>307</v>
      </c>
      <c r="AQ15" s="6" t="s">
        <v>311</v>
      </c>
      <c r="AR15" s="6" t="s">
        <v>318</v>
      </c>
      <c r="AS15" s="6" t="s">
        <v>321</v>
      </c>
      <c r="AT15" s="6" t="s">
        <v>326</v>
      </c>
      <c r="AU15" s="6" t="s">
        <v>329</v>
      </c>
      <c r="AV15" s="6" t="s">
        <v>332</v>
      </c>
      <c r="AW15" s="6" t="s">
        <v>336</v>
      </c>
      <c r="AX15" s="6" t="s">
        <v>340</v>
      </c>
      <c r="AY15" s="12"/>
      <c r="AZ15" s="6" t="s">
        <v>345</v>
      </c>
      <c r="BA15" s="6" t="s">
        <v>348</v>
      </c>
      <c r="BB15" s="6" t="s">
        <v>351</v>
      </c>
      <c r="BC15" s="6" t="s">
        <v>354</v>
      </c>
      <c r="BD15" s="6" t="s">
        <v>357</v>
      </c>
      <c r="BE15" s="12"/>
      <c r="BF15" s="12"/>
      <c r="BG15" s="12"/>
      <c r="BH15" s="12"/>
      <c r="BI15" s="12"/>
      <c r="BJ15" s="12"/>
      <c r="BK15" s="366"/>
      <c r="BS15" s="346"/>
      <c r="CA15" s="346"/>
      <c r="CI15" s="346"/>
      <c r="CQ15" s="346"/>
      <c r="CY15" s="346"/>
      <c r="DG15" s="346"/>
      <c r="DO15" s="346"/>
      <c r="DW15" s="369"/>
      <c r="EE15" s="346"/>
      <c r="EM15" s="346"/>
      <c r="EU15" s="346"/>
      <c r="FC15" s="369"/>
      <c r="FK15" s="346"/>
      <c r="FS15" s="346"/>
      <c r="GA15" s="346"/>
      <c r="GI15" s="346"/>
      <c r="GQ15" s="346"/>
      <c r="GY15" s="346"/>
      <c r="HG15" s="346"/>
      <c r="HO15" s="346"/>
      <c r="HW15" s="346"/>
      <c r="IE15" s="346"/>
      <c r="IM15" s="346"/>
      <c r="IU15" s="346"/>
      <c r="JC15" s="346"/>
      <c r="JK15" s="346"/>
      <c r="JS15" s="346"/>
      <c r="KA15" s="346"/>
      <c r="KI15" s="346"/>
      <c r="KQ15" s="346"/>
      <c r="KY15" s="346"/>
      <c r="LG15" s="346"/>
      <c r="LO15" s="346"/>
      <c r="LW15" s="346"/>
      <c r="ME15" s="346"/>
      <c r="MM15" s="346"/>
      <c r="MU15" s="346"/>
      <c r="NC15" s="346"/>
      <c r="NK15" s="346"/>
      <c r="NS15" s="346"/>
      <c r="OA15" s="346"/>
      <c r="OI15" s="346"/>
      <c r="OQ15" s="346"/>
      <c r="OY15" s="346"/>
      <c r="PG15" s="346"/>
      <c r="PO15" s="346"/>
      <c r="PW15" s="346"/>
      <c r="QE15" s="346"/>
      <c r="QM15" s="346"/>
      <c r="QU15" s="346"/>
      <c r="RC15" s="346"/>
      <c r="RK15" s="346"/>
      <c r="RS15" s="346"/>
      <c r="SA15" s="346"/>
      <c r="SI15" s="346"/>
      <c r="SQ15" s="346"/>
      <c r="SY15" s="346"/>
      <c r="TG15" s="346"/>
      <c r="TO15" s="346"/>
      <c r="TW15" s="346"/>
      <c r="UE15" s="346"/>
      <c r="UM15" s="346"/>
      <c r="UU15" s="346"/>
      <c r="VC15" s="346"/>
      <c r="VK15" s="346"/>
      <c r="VS15" s="346"/>
    </row>
    <row r="16" spans="3:591" x14ac:dyDescent="0.4">
      <c r="C16" s="1"/>
      <c r="E16" s="1"/>
      <c r="F16" s="19" t="s">
        <v>55</v>
      </c>
      <c r="G16" s="20" t="s">
        <v>86</v>
      </c>
      <c r="H16" s="20" t="s">
        <v>117</v>
      </c>
      <c r="I16" s="1"/>
      <c r="J16" s="1"/>
      <c r="K16" s="1"/>
      <c r="L16" s="1"/>
      <c r="M16" s="1"/>
      <c r="O16" s="346"/>
      <c r="Q16" s="1"/>
      <c r="R16" s="1"/>
      <c r="S16" s="1"/>
      <c r="T16" s="19" t="s">
        <v>55</v>
      </c>
      <c r="U16" s="20" t="s">
        <v>86</v>
      </c>
      <c r="V16" s="20" t="s">
        <v>117</v>
      </c>
      <c r="W16" s="1"/>
      <c r="X16" s="1"/>
      <c r="Y16" s="1"/>
      <c r="Z16" s="1"/>
      <c r="AA16" s="1"/>
      <c r="AC16" s="346"/>
      <c r="AE16" s="30" t="str">
        <f ca="1"/>
        <v>BMW X7 Rear Bumper LINE 1</v>
      </c>
      <c r="AF16" s="31">
        <f t="shared" ca="1" si="0"/>
        <v>1</v>
      </c>
      <c r="AG16" s="1"/>
      <c r="AH16" s="366"/>
      <c r="AJ16" s="11"/>
      <c r="AK16" s="87" t="s">
        <v>277</v>
      </c>
      <c r="AL16" s="11"/>
      <c r="AM16" s="6" t="s">
        <v>292</v>
      </c>
      <c r="AN16" s="12" t="s">
        <v>297</v>
      </c>
      <c r="AO16" s="6" t="s">
        <v>302</v>
      </c>
      <c r="AP16" s="6" t="s">
        <v>308</v>
      </c>
      <c r="AQ16" s="6" t="s">
        <v>312</v>
      </c>
      <c r="AR16" s="12"/>
      <c r="AS16" s="6" t="s">
        <v>322</v>
      </c>
      <c r="AT16" s="12"/>
      <c r="AU16" s="12"/>
      <c r="AV16" s="6" t="s">
        <v>333</v>
      </c>
      <c r="AW16" s="6" t="s">
        <v>337</v>
      </c>
      <c r="AX16" s="12"/>
      <c r="AY16" s="12"/>
      <c r="AZ16" s="12"/>
      <c r="BA16" s="12"/>
      <c r="BB16" s="12"/>
      <c r="BC16" s="12"/>
      <c r="BD16" s="12"/>
      <c r="BE16" s="12"/>
      <c r="BF16" s="12"/>
      <c r="BG16" s="12"/>
      <c r="BH16" s="12"/>
      <c r="BI16" s="12"/>
      <c r="BJ16" s="12"/>
      <c r="BK16" s="366"/>
      <c r="BO16" s="353" t="str">
        <f>SUBSTITUTE(LOWER(BS$1)," ","_") &amp; "_"</f>
        <v>mercedez_gle_53_rear_axle_line_2_</v>
      </c>
      <c r="BP16" s="353"/>
      <c r="BS16" s="346"/>
      <c r="BW16" s="353" t="str">
        <f>SUBSTITUTE(LOWER(CA$1)," ","_") &amp; "_"</f>
        <v>mercedez_gle_580_rear_axle_line_2_</v>
      </c>
      <c r="BX16" s="353"/>
      <c r="CA16" s="346"/>
      <c r="CE16" s="353" t="str">
        <f>SUBSTITUTE(LOWER(CI$1)," ","_") &amp; "_"</f>
        <v>mercedez_le_300_coupé_rear_axle_line_2_</v>
      </c>
      <c r="CF16" s="353"/>
      <c r="CI16" s="346"/>
      <c r="CM16" s="353" t="str">
        <f>SUBSTITUTE(LOWER(CQ$1)," ","_") &amp; "_"</f>
        <v>mercedez_gle_53_front_axle_line_1_</v>
      </c>
      <c r="CN16" s="353"/>
      <c r="CQ16" s="346"/>
      <c r="CU16" s="353" t="str">
        <f>SUBSTITUTE(LOWER(CY$1)," ","_") &amp; "_"</f>
        <v>mercedez_gle_580_front_axle_line_1_</v>
      </c>
      <c r="CV16" s="353"/>
      <c r="CY16" s="346"/>
      <c r="DC16" s="353" t="str">
        <f>SUBSTITUTE(LOWER(DG$1)," ","_") &amp; "_"</f>
        <v>mercedez_le_300_coupé_front_axle_line_1_</v>
      </c>
      <c r="DD16" s="353"/>
      <c r="DG16" s="346"/>
      <c r="DK16" s="353" t="str">
        <f>SUBSTITUTE(LOWER(DO$1)," ","_") &amp; "_"</f>
        <v>mercedez_gle_53_rear_bumper_line_1_</v>
      </c>
      <c r="DL16" s="353"/>
      <c r="DO16" s="346"/>
      <c r="DS16" s="353" t="str">
        <f>SUBSTITUTE(LOWER(DW$1)," ","_") &amp; "_"</f>
        <v>mercedez_gle_580_rear_bumper_line_1_</v>
      </c>
      <c r="DT16" s="353"/>
      <c r="DW16" s="369"/>
      <c r="EA16" s="353" t="str">
        <f>SUBSTITUTE(LOWER(EE$1)," ","_") &amp; "_"</f>
        <v>mercedez_le_300_coupé_rear_bumper_line_3_</v>
      </c>
      <c r="EB16" s="353"/>
      <c r="EE16" s="346"/>
      <c r="EI16" s="353" t="str">
        <f>SUBSTITUTE(LOWER(EM$1)," ","_") &amp; "_"</f>
        <v>bmw_x7_rear_bumper_line_1_</v>
      </c>
      <c r="EJ16" s="353"/>
      <c r="EM16" s="346"/>
      <c r="EQ16" s="353" t="str">
        <f>SUBSTITUTE(LOWER(EU$1)," ","_") &amp; "_"</f>
        <v>bmw_420d_gran_coupé_rear_bumper_line_3_</v>
      </c>
      <c r="ER16" s="353"/>
      <c r="EU16" s="346"/>
      <c r="EY16" s="353" t="str">
        <f>SUBSTITUTE(LOWER(FC$1)," ","_") &amp; "_"</f>
        <v>bmw_m550i_xdrive_rear_bumper_line_3_</v>
      </c>
      <c r="EZ16" s="353"/>
      <c r="FC16" s="369"/>
      <c r="FG16" s="353" t="str">
        <f>SUBSTITUTE(LOWER(FK$1)," ","_") &amp; "_"</f>
        <v>mercedez_gle_53_front_bumper_line_2_</v>
      </c>
      <c r="FH16" s="353"/>
      <c r="FK16" s="346"/>
      <c r="FO16" s="353" t="str">
        <f>SUBSTITUTE(LOWER(FS$1)," ","_") &amp; "_"</f>
        <v>mercedez_gle_580_front_bumper_line_2_</v>
      </c>
      <c r="FP16" s="353"/>
      <c r="FS16" s="346"/>
      <c r="FW16" s="353" t="str">
        <f>SUBSTITUTE(LOWER(GA$1)," ","_") &amp; "_"</f>
        <v>mercedez_le_300_coupé_front_bumper_line_4_</v>
      </c>
      <c r="FX16" s="353"/>
      <c r="GA16" s="346"/>
      <c r="GE16" s="353" t="str">
        <f>SUBSTITUTE(LOWER(GI$1)," ","_") &amp; "_"</f>
        <v>bmw_x7_front_bumper_line_2_</v>
      </c>
      <c r="GF16" s="353"/>
      <c r="GI16" s="346"/>
      <c r="GM16" s="353" t="str">
        <f>SUBSTITUTE(LOWER(GQ$1)," ","_") &amp; "_"</f>
        <v>bmw_420d_gran_coupé_front_bumper_line_4_</v>
      </c>
      <c r="GN16" s="353"/>
      <c r="GQ16" s="346"/>
      <c r="GU16" s="353" t="str">
        <f>SUBSTITUTE(LOWER(GY$1)," ","_") &amp; "_"</f>
        <v>bmw_m550i_xdrive_front_bumper_line_4_</v>
      </c>
      <c r="GV16" s="353"/>
      <c r="GY16" s="346"/>
      <c r="HC16" s="353" t="str">
        <f>SUBSTITUTE(LOWER(HG$1)," ","_") &amp; "_"</f>
        <v>bmw_x7_b-pillar_lh_line_3_</v>
      </c>
      <c r="HD16" s="353"/>
      <c r="HG16" s="346"/>
      <c r="HK16" s="353" t="str">
        <f>SUBSTITUTE(LOWER(HO$1)," ","_") &amp; "_"</f>
        <v>bmw_x7_b-pillar_rh_line_3_</v>
      </c>
      <c r="HL16" s="353"/>
      <c r="HO16" s="346"/>
      <c r="HS16" s="353" t="str">
        <f>SUBSTITUTE(LOWER(HW$1)," ","_") &amp; "_"</f>
        <v>bmw_420d_gran_coupé_b-pillar_lh_line_3_</v>
      </c>
      <c r="HT16" s="353"/>
      <c r="HW16" s="346"/>
      <c r="IA16" s="353" t="str">
        <f>SUBSTITUTE(LOWER(IE$1)," ","_") &amp; "_"</f>
        <v>bmw_420d_gran_coupé_b-pillar_rh_line_3_</v>
      </c>
      <c r="IB16" s="353"/>
      <c r="IE16" s="346"/>
      <c r="IG16" s="4" t="s">
        <v>266</v>
      </c>
      <c r="II16" s="353" t="str">
        <f>SUBSTITUTE(LOWER(IM$1)," ","_") &amp; "_"</f>
        <v>bmw_m550i_xdrive_b-pillar_lh_line_3_</v>
      </c>
      <c r="IJ16" s="353"/>
      <c r="IM16" s="346"/>
      <c r="IQ16" s="353" t="str">
        <f>SUBSTITUTE(LOWER(IU$1)," ","_") &amp; "_"</f>
        <v>bmw_m550i_xdrive_b-pillar_rh_line_3_</v>
      </c>
      <c r="IR16" s="353"/>
      <c r="IU16" s="346"/>
      <c r="IY16" s="353" t="str">
        <f>SUBSTITUTE(LOWER(JC$1)," ","_") &amp; "_"</f>
        <v>bmw_x7_a-pillar_lh_line_2_</v>
      </c>
      <c r="IZ16" s="353"/>
      <c r="JC16" s="346"/>
      <c r="JG16" s="353" t="str">
        <f>SUBSTITUTE(LOWER(JK$1)," ","_") &amp; "_"</f>
        <v>bmw_x7_a-pillar_rh_line_2_</v>
      </c>
      <c r="JH16" s="353"/>
      <c r="JK16" s="346"/>
      <c r="JO16" s="353" t="str">
        <f>SUBSTITUTE(LOWER(JS$1)," ","_") &amp; "_"</f>
        <v>bmw_420d_gran_coupé_a-pillar_lh_line_2_</v>
      </c>
      <c r="JP16" s="353"/>
      <c r="JS16" s="346"/>
      <c r="JW16" s="353" t="str">
        <f>SUBSTITUTE(LOWER(KA$1)," ","_") &amp; "_"</f>
        <v>bmw_420d_gran_coupé_a-pillar_rh_line_2_</v>
      </c>
      <c r="JX16" s="353"/>
      <c r="KA16" s="346"/>
      <c r="KE16" s="353" t="str">
        <f>SUBSTITUTE(LOWER(KI$1)," ","_") &amp; "_"</f>
        <v>bmw_m550i_xdrive_a-pillar_lh_line_2_</v>
      </c>
      <c r="KF16" s="353"/>
      <c r="KI16" s="346"/>
      <c r="KM16" s="353" t="str">
        <f>SUBSTITUTE(LOWER(KQ$1)," ","_") &amp; "_"</f>
        <v>bmw_m550i_xdrive_a-pillar_rh_line_2_</v>
      </c>
      <c r="KN16" s="353"/>
      <c r="KQ16" s="346"/>
      <c r="KU16" s="353" t="str">
        <f>SUBSTITUTE(LOWER(KY$1)," ","_") &amp; "_"</f>
        <v>mercedez_gle_53_c-pillar_lh_line_2_</v>
      </c>
      <c r="KV16" s="353"/>
      <c r="KY16" s="346"/>
      <c r="LC16" s="353" t="str">
        <f>SUBSTITUTE(LOWER(LG$1)," ","_") &amp; "_"</f>
        <v>mercedez_gle_53_c-pillar_rh_line_1_</v>
      </c>
      <c r="LD16" s="353"/>
      <c r="LG16" s="346"/>
      <c r="LK16" s="353" t="str">
        <f>SUBSTITUTE(LOWER(LO$1)," ","_") &amp; "_"</f>
        <v>mercedez_gle_580_c-pillar_lh_line_2_</v>
      </c>
      <c r="LL16" s="353"/>
      <c r="LO16" s="346"/>
      <c r="LS16" s="353" t="str">
        <f>SUBSTITUTE(LOWER(LW$1)," ","_") &amp; "_"</f>
        <v>mercedez_gle_580_c-pillar_rh_line_1_</v>
      </c>
      <c r="LT16" s="353"/>
      <c r="LW16" s="346"/>
      <c r="MA16" s="353" t="str">
        <f>SUBSTITUTE(LOWER(ME$1)," ","_") &amp; "_"</f>
        <v>mercedez_le_300_coupé_c-pillar_lh_line_2_</v>
      </c>
      <c r="MB16" s="353"/>
      <c r="ME16" s="346"/>
      <c r="MI16" s="353" t="str">
        <f>SUBSTITUTE(LOWER(MM$1)," ","_") &amp; "_"</f>
        <v>mercedez_le_300_coupé_c-pillar_rh_line_1_</v>
      </c>
      <c r="MJ16" s="353"/>
      <c r="MM16" s="346"/>
      <c r="MQ16" s="353" t="str">
        <f>SUBSTITUTE(LOWER(MU$1)," ","_") &amp; "_"</f>
        <v>bmw_x7_c-pillar_lh_line_2_</v>
      </c>
      <c r="MR16" s="353"/>
      <c r="MU16" s="346"/>
      <c r="MY16" s="353" t="str">
        <f>SUBSTITUTE(LOWER(NC$1)," ","_") &amp; "_"</f>
        <v>bmw_x7_c-pillar_rh_line_1_</v>
      </c>
      <c r="MZ16" s="353"/>
      <c r="NC16" s="346"/>
      <c r="NG16" s="353" t="str">
        <f>SUBSTITUTE(LOWER(NK$1)," ","_") &amp; "_"</f>
        <v>bmw_420d_gran_coupé_c-pillar_lh_line_2_</v>
      </c>
      <c r="NH16" s="353"/>
      <c r="NK16" s="346"/>
      <c r="NO16" s="353" t="str">
        <f>SUBSTITUTE(LOWER(NS$1)," ","_") &amp; "_"</f>
        <v>bmw_420d_gran_coupé_c-pillar_rh_line_1_</v>
      </c>
      <c r="NP16" s="353"/>
      <c r="NS16" s="346"/>
      <c r="NW16" s="353" t="str">
        <f>SUBSTITUTE(LOWER(OA$1)," ","_") &amp; "_"</f>
        <v>bmw_m550i_xdrive_c-pillar_lh_line_2_</v>
      </c>
      <c r="NX16" s="353"/>
      <c r="OA16" s="346"/>
      <c r="OE16" s="353" t="str">
        <f>SUBSTITUTE(LOWER(OI$1)," ","_") &amp; "_"</f>
        <v>bmw_m550i_xdrive_c-pillar_rh_line_1_</v>
      </c>
      <c r="OF16" s="353"/>
      <c r="OI16" s="346"/>
      <c r="OM16" s="353" t="str">
        <f>SUBSTITUTE(LOWER(OQ$1)," ","_") &amp; "_"</f>
        <v>mercedez_gle_53_ip_lhd_line_1_</v>
      </c>
      <c r="ON16" s="353"/>
      <c r="OQ16" s="346"/>
      <c r="OU16" s="353" t="str">
        <f>SUBSTITUTE(LOWER(OY$1)," ","_") &amp; "_"</f>
        <v>mercedez_gle_53_ip_rhd_line_2_</v>
      </c>
      <c r="OV16" s="353"/>
      <c r="OY16" s="346"/>
      <c r="PC16" s="353" t="str">
        <f>SUBSTITUTE(LOWER(PG$1)," ","_") &amp; "_"</f>
        <v>mercedez_gle_580_ip_lhd_line_1_</v>
      </c>
      <c r="PD16" s="353"/>
      <c r="PG16" s="346"/>
      <c r="PK16" s="353" t="str">
        <f>SUBSTITUTE(LOWER(PO$1)," ","_") &amp; "_"</f>
        <v>mercedez_gle_580_ip_rhd_line_2_</v>
      </c>
      <c r="PL16" s="353"/>
      <c r="PO16" s="346"/>
      <c r="PS16" s="353" t="str">
        <f>SUBSTITUTE(LOWER(PW$1)," ","_") &amp; "_"</f>
        <v>mercedez_le_300_coupé_ip_lhd_line_1_</v>
      </c>
      <c r="PT16" s="353"/>
      <c r="PW16" s="346"/>
      <c r="QA16" s="353" t="str">
        <f>SUBSTITUTE(LOWER(QE$1)," ","_") &amp; "_"</f>
        <v>mercedez_le_300_coupé_ip_rhd_line_2_</v>
      </c>
      <c r="QB16" s="353"/>
      <c r="QE16" s="346"/>
      <c r="QI16" s="353" t="str">
        <f>SUBSTITUTE(LOWER(QM$1)," ","_") &amp; "_"</f>
        <v>bmw_x7_ip_lhd_line_2_</v>
      </c>
      <c r="QJ16" s="353"/>
      <c r="QM16" s="346"/>
      <c r="QQ16" s="353" t="str">
        <f>SUBSTITUTE(LOWER(QU$1)," ","_") &amp; "_"</f>
        <v>bmw_x7_ip_rhd_line_1_</v>
      </c>
      <c r="QR16" s="353"/>
      <c r="QU16" s="346"/>
      <c r="QY16" s="353" t="str">
        <f>SUBSTITUTE(LOWER(RC$1)," ","_") &amp; "_"</f>
        <v>bmw_420d_gran_coupé_ip_lhd_line_2_</v>
      </c>
      <c r="QZ16" s="353"/>
      <c r="RC16" s="346"/>
      <c r="RG16" s="353" t="str">
        <f>SUBSTITUTE(LOWER(RK$1)," ","_") &amp; "_"</f>
        <v>bmw_420d_gran_coupé_ip_rhd_line_1_</v>
      </c>
      <c r="RH16" s="353"/>
      <c r="RK16" s="346"/>
      <c r="RO16" s="353" t="str">
        <f>SUBSTITUTE(LOWER(RS$1)," ","_") &amp; "_"</f>
        <v>bmw_m550i_xdrive_ip_lhd_line_2_</v>
      </c>
      <c r="RP16" s="353"/>
      <c r="RS16" s="346"/>
      <c r="RW16" s="353" t="str">
        <f>SUBSTITUTE(LOWER(SA$1)," ","_") &amp; "_"</f>
        <v>bmw_m550i_xdrive_ip_rhd_line_1_</v>
      </c>
      <c r="RX16" s="353"/>
      <c r="SA16" s="346"/>
      <c r="SE16" s="353" t="str">
        <f>SUBSTITUTE(LOWER(SI$1)," ","_") &amp; "_"</f>
        <v>bmw_x7_a-pillar_lh_line_4_</v>
      </c>
      <c r="SF16" s="353"/>
      <c r="SI16" s="346"/>
      <c r="SM16" s="353" t="str">
        <f>SUBSTITUTE(LOWER(SQ$1)," ","_") &amp; "_"</f>
        <v>bmw_x7_a-pillar_rh_line_4_</v>
      </c>
      <c r="SN16" s="353"/>
      <c r="SQ16" s="346"/>
      <c r="SU16" s="353" t="str">
        <f>SUBSTITUTE(LOWER(SY$1)," ","_") &amp; "_"</f>
        <v>bmw_420d_gran_coupé_a-pillar_lh_line_4_</v>
      </c>
      <c r="SV16" s="353"/>
      <c r="SY16" s="346"/>
      <c r="TC16" s="353" t="str">
        <f>SUBSTITUTE(LOWER(TG$1)," ","_") &amp; "_"</f>
        <v>bmw_420d_gran_coupé_a-pillar_rh_line_4_</v>
      </c>
      <c r="TD16" s="353"/>
      <c r="TG16" s="346"/>
      <c r="TK16" s="353" t="str">
        <f>SUBSTITUTE(LOWER(TO$1)," ","_") &amp; "_"</f>
        <v>bmw_m550i_xdrive_a-pillar_lh_line_4_</v>
      </c>
      <c r="TL16" s="353"/>
      <c r="TO16" s="346"/>
      <c r="TS16" s="353" t="str">
        <f>SUBSTITUTE(LOWER(TW$1)," ","_") &amp; "_"</f>
        <v>bmw_m550i_xdrive_a-pillar_rh_line_4_</v>
      </c>
      <c r="TT16" s="353"/>
      <c r="TW16" s="346"/>
      <c r="UA16" s="353" t="str">
        <f>SUBSTITUTE(LOWER(UE$1)," ","_") &amp; "_"</f>
        <v>mercedez_gle_53_c-pillar_lh_line_4_</v>
      </c>
      <c r="UB16" s="353"/>
      <c r="UE16" s="346"/>
      <c r="UI16" s="353" t="str">
        <f>SUBSTITUTE(LOWER(UM$1)," ","_") &amp; "_"</f>
        <v>mercedez_gle_53_c-pillar_rh_line_3_</v>
      </c>
      <c r="UJ16" s="353"/>
      <c r="UM16" s="346"/>
      <c r="UQ16" s="353" t="str">
        <f>SUBSTITUTE(LOWER(UU$1)," ","_") &amp; "_"</f>
        <v>mercedez_gle_580_c-pillar_lh_line_4_</v>
      </c>
      <c r="UR16" s="353"/>
      <c r="UU16" s="346"/>
      <c r="UY16" s="353" t="str">
        <f>SUBSTITUTE(LOWER(VC$1)," ","_") &amp; "_"</f>
        <v>mercedez_gle_580_c-pillar_rh_line_3_</v>
      </c>
      <c r="UZ16" s="353"/>
      <c r="VC16" s="346"/>
      <c r="VG16" s="353" t="str">
        <f>SUBSTITUTE(LOWER(VK$1)," ","_") &amp; "_"</f>
        <v>mercedez_le_300_coupé_c-pillar_lh_line_4_</v>
      </c>
      <c r="VH16" s="353"/>
      <c r="VK16" s="346"/>
      <c r="VO16" s="353" t="str">
        <f>SUBSTITUTE(LOWER(VS$1)," ","_") &amp; "_"</f>
        <v>mercedez_le_300_coupé_c-pillar_rh_line_3_</v>
      </c>
      <c r="VP16" s="353"/>
      <c r="VS16" s="346"/>
    </row>
    <row r="17" spans="3:591" x14ac:dyDescent="0.4">
      <c r="C17" s="1"/>
      <c r="D17" s="1"/>
      <c r="E17" s="1"/>
      <c r="F17" s="19" t="s">
        <v>56</v>
      </c>
      <c r="G17" s="20" t="s">
        <v>87</v>
      </c>
      <c r="H17" s="20" t="s">
        <v>118</v>
      </c>
      <c r="I17" s="1"/>
      <c r="J17" s="1"/>
      <c r="K17" s="1"/>
      <c r="L17" s="1"/>
      <c r="M17" s="1"/>
      <c r="O17" s="346"/>
      <c r="Q17" s="1"/>
      <c r="R17" s="1"/>
      <c r="S17" s="1"/>
      <c r="T17" s="19" t="s">
        <v>56</v>
      </c>
      <c r="U17" s="20" t="s">
        <v>87</v>
      </c>
      <c r="V17" s="20" t="s">
        <v>118</v>
      </c>
      <c r="W17" s="1"/>
      <c r="X17" s="1"/>
      <c r="Y17" s="1"/>
      <c r="Z17" s="1"/>
      <c r="AA17" s="1"/>
      <c r="AC17" s="346"/>
      <c r="AE17" s="30" t="str">
        <f ca="1"/>
        <v>BMW 420d Gran Coupé Rear Bumper LINE 3</v>
      </c>
      <c r="AF17" s="31">
        <f t="shared" ca="1" si="0"/>
        <v>1</v>
      </c>
      <c r="AG17" s="1"/>
      <c r="AH17" s="366"/>
      <c r="AJ17" s="11"/>
      <c r="AK17" s="87" t="s">
        <v>278</v>
      </c>
      <c r="AL17" s="11"/>
      <c r="AM17" s="6" t="s">
        <v>293</v>
      </c>
      <c r="AN17" s="12" t="s">
        <v>298</v>
      </c>
      <c r="AO17" s="6" t="s">
        <v>303</v>
      </c>
      <c r="AP17" s="12"/>
      <c r="AQ17" s="6" t="s">
        <v>313</v>
      </c>
      <c r="AR17" s="12"/>
      <c r="AS17" s="6" t="s">
        <v>323</v>
      </c>
      <c r="AT17" s="12"/>
      <c r="AU17" s="12"/>
      <c r="AV17" s="12"/>
      <c r="AW17" s="12"/>
      <c r="AX17" s="12"/>
      <c r="AY17" s="12"/>
      <c r="AZ17" s="12"/>
      <c r="BA17" s="12"/>
      <c r="BB17" s="12"/>
      <c r="BC17" s="12"/>
      <c r="BD17" s="12"/>
      <c r="BE17" s="12"/>
      <c r="BF17" s="12"/>
      <c r="BG17" s="12"/>
      <c r="BH17" s="12"/>
      <c r="BI17" s="12"/>
      <c r="BJ17" s="12"/>
      <c r="BK17" s="366"/>
      <c r="BO17" s="354" t="s">
        <v>35</v>
      </c>
      <c r="BP17" s="355"/>
      <c r="BS17" s="346"/>
      <c r="BW17" s="354" t="s">
        <v>35</v>
      </c>
      <c r="BX17" s="355"/>
      <c r="CA17" s="346"/>
      <c r="CE17" s="354" t="s">
        <v>207</v>
      </c>
      <c r="CF17" s="355"/>
      <c r="CI17" s="346"/>
      <c r="CM17" s="354" t="s">
        <v>35</v>
      </c>
      <c r="CN17" s="355"/>
      <c r="CQ17" s="346"/>
      <c r="CU17" s="354" t="s">
        <v>35</v>
      </c>
      <c r="CV17" s="355"/>
      <c r="CY17" s="346"/>
      <c r="DC17" s="354" t="s">
        <v>35</v>
      </c>
      <c r="DD17" s="355"/>
      <c r="DG17" s="346"/>
      <c r="DK17" s="354" t="s">
        <v>35</v>
      </c>
      <c r="DL17" s="355"/>
      <c r="DO17" s="346"/>
      <c r="DS17" s="367" t="s">
        <v>35</v>
      </c>
      <c r="DT17" s="368"/>
      <c r="DW17" s="369"/>
      <c r="EA17" s="354" t="s">
        <v>35</v>
      </c>
      <c r="EB17" s="355"/>
      <c r="EE17" s="346"/>
      <c r="EI17" s="354" t="s">
        <v>35</v>
      </c>
      <c r="EJ17" s="355"/>
      <c r="EM17" s="346"/>
      <c r="EQ17" s="354" t="s">
        <v>35</v>
      </c>
      <c r="ER17" s="355"/>
      <c r="EU17" s="346"/>
      <c r="EY17" s="354" t="s">
        <v>35</v>
      </c>
      <c r="EZ17" s="355"/>
      <c r="FC17" s="369"/>
      <c r="FG17" s="354" t="s">
        <v>35</v>
      </c>
      <c r="FH17" s="355"/>
      <c r="FK17" s="346"/>
      <c r="FO17" s="354" t="s">
        <v>35</v>
      </c>
      <c r="FP17" s="355"/>
      <c r="FS17" s="346"/>
      <c r="FW17" s="354" t="s">
        <v>35</v>
      </c>
      <c r="FX17" s="355"/>
      <c r="GA17" s="346"/>
      <c r="GE17" s="354" t="s">
        <v>35</v>
      </c>
      <c r="GF17" s="355"/>
      <c r="GI17" s="346"/>
      <c r="GM17" s="354" t="s">
        <v>35</v>
      </c>
      <c r="GN17" s="355"/>
      <c r="GQ17" s="346"/>
      <c r="GU17" s="354" t="s">
        <v>35</v>
      </c>
      <c r="GV17" s="355"/>
      <c r="GY17" s="346"/>
      <c r="HC17" s="354" t="s">
        <v>35</v>
      </c>
      <c r="HD17" s="355"/>
      <c r="HG17" s="346"/>
      <c r="HK17" s="354" t="s">
        <v>35</v>
      </c>
      <c r="HL17" s="355"/>
      <c r="HO17" s="346"/>
      <c r="HS17" s="354" t="s">
        <v>35</v>
      </c>
      <c r="HT17" s="355"/>
      <c r="HW17" s="346"/>
      <c r="IA17" s="354" t="s">
        <v>35</v>
      </c>
      <c r="IB17" s="355"/>
      <c r="IE17" s="346"/>
      <c r="II17" s="354" t="s">
        <v>35</v>
      </c>
      <c r="IJ17" s="355"/>
      <c r="IM17" s="346"/>
      <c r="IQ17" s="354" t="s">
        <v>35</v>
      </c>
      <c r="IR17" s="355"/>
      <c r="IU17" s="346"/>
      <c r="IY17" s="354" t="s">
        <v>35</v>
      </c>
      <c r="IZ17" s="355"/>
      <c r="JC17" s="346"/>
      <c r="JG17" s="354" t="s">
        <v>35</v>
      </c>
      <c r="JH17" s="355"/>
      <c r="JK17" s="346"/>
      <c r="JO17" s="354" t="s">
        <v>35</v>
      </c>
      <c r="JP17" s="355"/>
      <c r="JS17" s="346"/>
      <c r="JW17" s="354" t="s">
        <v>35</v>
      </c>
      <c r="JX17" s="355"/>
      <c r="KA17" s="346"/>
      <c r="KE17" s="354" t="s">
        <v>35</v>
      </c>
      <c r="KF17" s="355"/>
      <c r="KI17" s="346"/>
      <c r="KM17" s="354" t="s">
        <v>35</v>
      </c>
      <c r="KN17" s="355"/>
      <c r="KQ17" s="346"/>
      <c r="KU17" s="354" t="s">
        <v>35</v>
      </c>
      <c r="KV17" s="355"/>
      <c r="KY17" s="346"/>
      <c r="LC17" s="354" t="s">
        <v>35</v>
      </c>
      <c r="LD17" s="355"/>
      <c r="LG17" s="346"/>
      <c r="LK17" s="354" t="s">
        <v>35</v>
      </c>
      <c r="LL17" s="355"/>
      <c r="LO17" s="346"/>
      <c r="LS17" s="354" t="s">
        <v>35</v>
      </c>
      <c r="LT17" s="355"/>
      <c r="LW17" s="346"/>
      <c r="MA17" s="354" t="s">
        <v>35</v>
      </c>
      <c r="MB17" s="355"/>
      <c r="ME17" s="346"/>
      <c r="MI17" s="354" t="s">
        <v>35</v>
      </c>
      <c r="MJ17" s="355"/>
      <c r="MM17" s="346"/>
      <c r="MQ17" s="354" t="s">
        <v>35</v>
      </c>
      <c r="MR17" s="355"/>
      <c r="MU17" s="346"/>
      <c r="MY17" s="354" t="s">
        <v>35</v>
      </c>
      <c r="MZ17" s="355"/>
      <c r="NC17" s="346"/>
      <c r="NG17" s="354" t="s">
        <v>35</v>
      </c>
      <c r="NH17" s="355"/>
      <c r="NK17" s="346"/>
      <c r="NO17" s="354" t="s">
        <v>35</v>
      </c>
      <c r="NP17" s="355"/>
      <c r="NS17" s="346"/>
      <c r="NW17" s="354" t="s">
        <v>35</v>
      </c>
      <c r="NX17" s="355"/>
      <c r="OA17" s="346"/>
      <c r="OE17" s="354" t="s">
        <v>35</v>
      </c>
      <c r="OF17" s="355"/>
      <c r="OI17" s="346"/>
      <c r="OM17" s="354" t="s">
        <v>35</v>
      </c>
      <c r="ON17" s="355"/>
      <c r="OQ17" s="346"/>
      <c r="OU17" s="354" t="s">
        <v>35</v>
      </c>
      <c r="OV17" s="355"/>
      <c r="OY17" s="346"/>
      <c r="PC17" s="354" t="s">
        <v>35</v>
      </c>
      <c r="PD17" s="355"/>
      <c r="PG17" s="346"/>
      <c r="PK17" s="354" t="s">
        <v>35</v>
      </c>
      <c r="PL17" s="355"/>
      <c r="PO17" s="346"/>
      <c r="PS17" s="354" t="s">
        <v>35</v>
      </c>
      <c r="PT17" s="355"/>
      <c r="PW17" s="346"/>
      <c r="QA17" s="354" t="s">
        <v>35</v>
      </c>
      <c r="QB17" s="355"/>
      <c r="QE17" s="346"/>
      <c r="QI17" s="354" t="s">
        <v>35</v>
      </c>
      <c r="QJ17" s="355"/>
      <c r="QM17" s="346"/>
      <c r="QQ17" s="354" t="s">
        <v>35</v>
      </c>
      <c r="QR17" s="355"/>
      <c r="QU17" s="346"/>
      <c r="QY17" s="354" t="s">
        <v>35</v>
      </c>
      <c r="QZ17" s="355"/>
      <c r="RC17" s="346"/>
      <c r="RG17" s="354" t="s">
        <v>35</v>
      </c>
      <c r="RH17" s="355"/>
      <c r="RK17" s="346"/>
      <c r="RO17" s="354" t="s">
        <v>35</v>
      </c>
      <c r="RP17" s="355"/>
      <c r="RS17" s="346"/>
      <c r="RW17" s="354" t="s">
        <v>35</v>
      </c>
      <c r="RX17" s="355"/>
      <c r="SA17" s="346"/>
      <c r="SE17" s="354" t="s">
        <v>35</v>
      </c>
      <c r="SF17" s="355"/>
      <c r="SI17" s="346"/>
      <c r="SM17" s="354" t="s">
        <v>35</v>
      </c>
      <c r="SN17" s="355"/>
      <c r="SQ17" s="346"/>
      <c r="SU17" s="354" t="s">
        <v>35</v>
      </c>
      <c r="SV17" s="355"/>
      <c r="SY17" s="346"/>
      <c r="TC17" s="354" t="s">
        <v>35</v>
      </c>
      <c r="TD17" s="355"/>
      <c r="TG17" s="346"/>
      <c r="TK17" s="354" t="s">
        <v>35</v>
      </c>
      <c r="TL17" s="355"/>
      <c r="TO17" s="346"/>
      <c r="TS17" s="354" t="s">
        <v>35</v>
      </c>
      <c r="TT17" s="355"/>
      <c r="TW17" s="346"/>
      <c r="UA17" s="354" t="s">
        <v>35</v>
      </c>
      <c r="UB17" s="355"/>
      <c r="UE17" s="346"/>
      <c r="UI17" s="354" t="s">
        <v>35</v>
      </c>
      <c r="UJ17" s="355"/>
      <c r="UM17" s="346"/>
      <c r="UQ17" s="354" t="s">
        <v>35</v>
      </c>
      <c r="UR17" s="355"/>
      <c r="UU17" s="346"/>
      <c r="UY17" s="354" t="s">
        <v>35</v>
      </c>
      <c r="UZ17" s="355"/>
      <c r="VC17" s="346"/>
      <c r="VG17" s="354" t="s">
        <v>35</v>
      </c>
      <c r="VH17" s="355"/>
      <c r="VK17" s="346"/>
      <c r="VO17" s="354" t="s">
        <v>35</v>
      </c>
      <c r="VP17" s="355"/>
      <c r="VS17" s="346"/>
    </row>
    <row r="18" spans="3:591" x14ac:dyDescent="0.4">
      <c r="C18" s="1"/>
      <c r="D18" s="1"/>
      <c r="E18" s="1"/>
      <c r="F18" s="19" t="s">
        <v>57</v>
      </c>
      <c r="G18" s="20" t="s">
        <v>88</v>
      </c>
      <c r="H18" s="20" t="s">
        <v>119</v>
      </c>
      <c r="I18" s="1"/>
      <c r="J18" s="1"/>
      <c r="K18" s="1"/>
      <c r="L18" s="1"/>
      <c r="M18" s="1"/>
      <c r="O18" s="346"/>
      <c r="Q18" s="1"/>
      <c r="R18" s="1"/>
      <c r="S18" s="1"/>
      <c r="T18" s="19" t="s">
        <v>57</v>
      </c>
      <c r="U18" s="20" t="s">
        <v>88</v>
      </c>
      <c r="V18" s="20" t="s">
        <v>119</v>
      </c>
      <c r="W18" s="1"/>
      <c r="X18" s="1"/>
      <c r="Y18" s="1"/>
      <c r="Z18" s="1"/>
      <c r="AA18" s="1"/>
      <c r="AC18" s="346"/>
      <c r="AE18" s="30" t="str">
        <f ca="1"/>
        <v>BMW M550i xDrive Rear Bumper LINE 3</v>
      </c>
      <c r="AF18" s="31">
        <f t="shared" ca="1" si="0"/>
        <v>1</v>
      </c>
      <c r="AG18" s="1"/>
      <c r="AH18" s="366"/>
      <c r="AJ18" s="11"/>
      <c r="AK18" s="87" t="s">
        <v>279</v>
      </c>
      <c r="AL18" s="11"/>
      <c r="AM18" s="12"/>
      <c r="AN18" s="11"/>
      <c r="AO18" s="6" t="s">
        <v>304</v>
      </c>
      <c r="AP18" s="12"/>
      <c r="AQ18" s="6" t="s">
        <v>314</v>
      </c>
      <c r="AR18" s="12"/>
      <c r="AS18" s="12"/>
      <c r="AT18" s="12"/>
      <c r="AU18" s="12"/>
      <c r="AV18" s="12"/>
      <c r="AW18" s="12"/>
      <c r="AX18" s="12"/>
      <c r="AY18" s="12"/>
      <c r="AZ18" s="12"/>
      <c r="BA18" s="12"/>
      <c r="BB18" s="12"/>
      <c r="BC18" s="12"/>
      <c r="BD18" s="12"/>
      <c r="BE18" s="12"/>
      <c r="BF18" s="12"/>
      <c r="BG18" s="12"/>
      <c r="BH18" s="12"/>
      <c r="BI18" s="12"/>
      <c r="BJ18" s="12"/>
      <c r="BK18" s="366"/>
      <c r="BO18" s="33" t="s">
        <v>31</v>
      </c>
      <c r="BP18" s="85">
        <v>340</v>
      </c>
      <c r="BS18" s="346"/>
      <c r="BW18" s="33" t="s">
        <v>31</v>
      </c>
      <c r="BX18" s="85">
        <v>179</v>
      </c>
      <c r="CA18" s="346"/>
      <c r="CE18" s="33" t="s">
        <v>31</v>
      </c>
      <c r="CF18" s="85">
        <v>246</v>
      </c>
      <c r="CI18" s="346"/>
      <c r="CM18" s="33" t="s">
        <v>31</v>
      </c>
      <c r="CN18" s="85">
        <v>279</v>
      </c>
      <c r="CQ18" s="346"/>
      <c r="CU18" s="33" t="s">
        <v>31</v>
      </c>
      <c r="CV18" s="85">
        <v>96</v>
      </c>
      <c r="CY18" s="346"/>
      <c r="DC18" s="33" t="s">
        <v>31</v>
      </c>
      <c r="DD18" s="85">
        <v>216</v>
      </c>
      <c r="DG18" s="346"/>
      <c r="DK18" s="33" t="s">
        <v>31</v>
      </c>
      <c r="DL18" s="85">
        <v>201</v>
      </c>
      <c r="DO18" s="346"/>
      <c r="DS18" s="162" t="s">
        <v>31</v>
      </c>
      <c r="DT18" s="163">
        <v>316</v>
      </c>
      <c r="DW18" s="369"/>
      <c r="EA18" s="33" t="s">
        <v>31</v>
      </c>
      <c r="EB18" s="85">
        <v>178</v>
      </c>
      <c r="EE18" s="346"/>
      <c r="EI18" s="33" t="s">
        <v>31</v>
      </c>
      <c r="EJ18" s="85">
        <v>315</v>
      </c>
      <c r="EM18" s="346"/>
      <c r="EQ18" s="33" t="s">
        <v>31</v>
      </c>
      <c r="ER18" s="85">
        <v>157</v>
      </c>
      <c r="EU18" s="346"/>
      <c r="EY18" s="33" t="s">
        <v>31</v>
      </c>
      <c r="EZ18" s="85">
        <v>191</v>
      </c>
      <c r="FC18" s="369"/>
      <c r="FG18" s="33" t="s">
        <v>31</v>
      </c>
      <c r="FH18" s="85">
        <v>120</v>
      </c>
      <c r="FK18" s="346"/>
      <c r="FO18" s="33" t="s">
        <v>31</v>
      </c>
      <c r="FP18" s="85">
        <v>168</v>
      </c>
      <c r="FS18" s="346"/>
      <c r="FW18" s="33" t="s">
        <v>31</v>
      </c>
      <c r="FX18" s="85">
        <v>78</v>
      </c>
      <c r="GA18" s="346"/>
      <c r="GE18" s="33" t="s">
        <v>31</v>
      </c>
      <c r="GF18" s="85">
        <v>231</v>
      </c>
      <c r="GI18" s="346"/>
      <c r="GM18" s="33" t="s">
        <v>31</v>
      </c>
      <c r="GN18" s="85">
        <v>197</v>
      </c>
      <c r="GQ18" s="346"/>
      <c r="GU18" s="33" t="s">
        <v>31</v>
      </c>
      <c r="GV18" s="85">
        <v>325</v>
      </c>
      <c r="GY18" s="346"/>
      <c r="HC18" s="33" t="s">
        <v>31</v>
      </c>
      <c r="HD18" s="85">
        <v>227</v>
      </c>
      <c r="HG18" s="346"/>
      <c r="HK18" s="33" t="s">
        <v>31</v>
      </c>
      <c r="HL18" s="85">
        <v>106</v>
      </c>
      <c r="HO18" s="346"/>
      <c r="HS18" s="33" t="s">
        <v>31</v>
      </c>
      <c r="HT18" s="85">
        <v>299</v>
      </c>
      <c r="HW18" s="346"/>
      <c r="IA18" s="33" t="s">
        <v>31</v>
      </c>
      <c r="IB18" s="85">
        <v>92</v>
      </c>
      <c r="IE18" s="346"/>
      <c r="II18" s="33" t="s">
        <v>31</v>
      </c>
      <c r="IJ18" s="85">
        <v>235</v>
      </c>
      <c r="IM18" s="346"/>
      <c r="IQ18" s="33" t="s">
        <v>31</v>
      </c>
      <c r="IR18" s="85">
        <v>209</v>
      </c>
      <c r="IU18" s="346"/>
      <c r="IY18" s="33" t="s">
        <v>31</v>
      </c>
      <c r="IZ18" s="85">
        <v>114</v>
      </c>
      <c r="JC18" s="346"/>
      <c r="JG18" s="33" t="s">
        <v>31</v>
      </c>
      <c r="JH18" s="85">
        <v>96</v>
      </c>
      <c r="JK18" s="346"/>
      <c r="JO18" s="33" t="s">
        <v>31</v>
      </c>
      <c r="JP18" s="85">
        <v>338</v>
      </c>
      <c r="JS18" s="346"/>
      <c r="JW18" s="33" t="s">
        <v>31</v>
      </c>
      <c r="JX18" s="85">
        <v>52</v>
      </c>
      <c r="KA18" s="346"/>
      <c r="KE18" s="33" t="s">
        <v>31</v>
      </c>
      <c r="KF18" s="85">
        <v>198</v>
      </c>
      <c r="KI18" s="346"/>
      <c r="KM18" s="33" t="s">
        <v>31</v>
      </c>
      <c r="KN18" s="85">
        <v>190</v>
      </c>
      <c r="KQ18" s="346"/>
      <c r="KU18" s="33" t="s">
        <v>31</v>
      </c>
      <c r="KV18" s="85">
        <v>325</v>
      </c>
      <c r="KY18" s="346"/>
      <c r="LC18" s="33" t="s">
        <v>31</v>
      </c>
      <c r="LD18" s="85">
        <v>276</v>
      </c>
      <c r="LG18" s="346"/>
      <c r="LK18" s="33" t="s">
        <v>31</v>
      </c>
      <c r="LL18" s="85">
        <v>250</v>
      </c>
      <c r="LO18" s="346"/>
      <c r="LS18" s="33" t="s">
        <v>31</v>
      </c>
      <c r="LT18" s="85">
        <v>72</v>
      </c>
      <c r="LW18" s="346"/>
      <c r="MA18" s="33" t="s">
        <v>31</v>
      </c>
      <c r="MB18" s="85">
        <v>254</v>
      </c>
      <c r="ME18" s="346"/>
      <c r="MI18" s="33" t="s">
        <v>31</v>
      </c>
      <c r="MJ18" s="85">
        <v>197</v>
      </c>
      <c r="MM18" s="346"/>
      <c r="MQ18" s="33" t="s">
        <v>31</v>
      </c>
      <c r="MR18" s="85">
        <v>286</v>
      </c>
      <c r="MU18" s="346"/>
      <c r="MY18" s="33" t="s">
        <v>31</v>
      </c>
      <c r="MZ18" s="85">
        <v>203</v>
      </c>
      <c r="NC18" s="346"/>
      <c r="NG18" s="33" t="s">
        <v>31</v>
      </c>
      <c r="NH18" s="85">
        <v>138</v>
      </c>
      <c r="NK18" s="346"/>
      <c r="NO18" s="33" t="s">
        <v>31</v>
      </c>
      <c r="NP18" s="85">
        <v>294</v>
      </c>
      <c r="NS18" s="346"/>
      <c r="NW18" s="33" t="s">
        <v>31</v>
      </c>
      <c r="NX18" s="85">
        <v>209</v>
      </c>
      <c r="OA18" s="346"/>
      <c r="OE18" s="33" t="s">
        <v>31</v>
      </c>
      <c r="OF18" s="85">
        <v>265</v>
      </c>
      <c r="OI18" s="346"/>
      <c r="OM18" s="33" t="s">
        <v>31</v>
      </c>
      <c r="ON18" s="85">
        <v>116</v>
      </c>
      <c r="OQ18" s="346"/>
      <c r="OU18" s="33" t="s">
        <v>31</v>
      </c>
      <c r="OV18" s="85">
        <v>179</v>
      </c>
      <c r="OY18" s="346"/>
      <c r="PC18" s="33" t="s">
        <v>31</v>
      </c>
      <c r="PD18" s="85">
        <v>282</v>
      </c>
      <c r="PG18" s="346"/>
      <c r="PK18" s="33" t="s">
        <v>31</v>
      </c>
      <c r="PL18" s="85">
        <v>292</v>
      </c>
      <c r="PO18" s="346"/>
      <c r="PS18" s="33" t="s">
        <v>31</v>
      </c>
      <c r="PT18" s="85">
        <v>131</v>
      </c>
      <c r="PW18" s="346"/>
      <c r="QA18" s="33" t="s">
        <v>31</v>
      </c>
      <c r="QB18" s="85">
        <v>116</v>
      </c>
      <c r="QE18" s="346"/>
      <c r="QI18" s="33" t="s">
        <v>31</v>
      </c>
      <c r="QJ18" s="85">
        <v>224</v>
      </c>
      <c r="QM18" s="346"/>
      <c r="QQ18" s="33" t="s">
        <v>31</v>
      </c>
      <c r="QR18" s="85">
        <v>82</v>
      </c>
      <c r="QU18" s="346"/>
      <c r="QY18" s="33" t="s">
        <v>31</v>
      </c>
      <c r="QZ18" s="85">
        <v>168</v>
      </c>
      <c r="RC18" s="346"/>
      <c r="RG18" s="33" t="s">
        <v>31</v>
      </c>
      <c r="RH18" s="85">
        <v>252</v>
      </c>
      <c r="RK18" s="346"/>
      <c r="RO18" s="33" t="s">
        <v>31</v>
      </c>
      <c r="RP18" s="85">
        <v>167</v>
      </c>
      <c r="RS18" s="346"/>
      <c r="RW18" s="33" t="s">
        <v>31</v>
      </c>
      <c r="RX18" s="85">
        <v>278</v>
      </c>
      <c r="SA18" s="346"/>
      <c r="SE18" s="33" t="s">
        <v>31</v>
      </c>
      <c r="SF18" s="85">
        <v>316</v>
      </c>
      <c r="SI18" s="346"/>
      <c r="SM18" s="33" t="s">
        <v>31</v>
      </c>
      <c r="SN18" s="85">
        <v>193</v>
      </c>
      <c r="SQ18" s="346"/>
      <c r="SU18" s="33" t="s">
        <v>31</v>
      </c>
      <c r="SV18" s="85">
        <v>125</v>
      </c>
      <c r="SY18" s="346"/>
      <c r="TC18" s="33" t="s">
        <v>31</v>
      </c>
      <c r="TD18" s="85">
        <v>256</v>
      </c>
      <c r="TG18" s="346"/>
      <c r="TK18" s="33" t="s">
        <v>31</v>
      </c>
      <c r="TL18" s="85">
        <v>233</v>
      </c>
      <c r="TO18" s="346"/>
      <c r="TS18" s="33" t="s">
        <v>31</v>
      </c>
      <c r="TT18" s="85">
        <v>197</v>
      </c>
      <c r="TW18" s="346"/>
      <c r="UA18" s="33" t="s">
        <v>31</v>
      </c>
      <c r="UB18" s="85">
        <v>304</v>
      </c>
      <c r="UE18" s="346"/>
      <c r="UI18" s="33" t="s">
        <v>31</v>
      </c>
      <c r="UJ18" s="85">
        <v>157</v>
      </c>
      <c r="UM18" s="346"/>
      <c r="UQ18" s="33" t="s">
        <v>31</v>
      </c>
      <c r="UR18" s="85">
        <v>96</v>
      </c>
      <c r="UU18" s="346"/>
      <c r="UY18" s="33" t="s">
        <v>31</v>
      </c>
      <c r="UZ18" s="85">
        <v>221</v>
      </c>
      <c r="VC18" s="346"/>
      <c r="VG18" s="33" t="s">
        <v>31</v>
      </c>
      <c r="VH18" s="85">
        <v>286</v>
      </c>
      <c r="VK18" s="346"/>
      <c r="VO18" s="33" t="s">
        <v>31</v>
      </c>
      <c r="VP18" s="85">
        <v>124</v>
      </c>
      <c r="VS18" s="346"/>
    </row>
    <row r="19" spans="3:591" x14ac:dyDescent="0.4">
      <c r="C19" s="1"/>
      <c r="D19" s="1"/>
      <c r="E19" s="1"/>
      <c r="F19" s="19" t="s">
        <v>58</v>
      </c>
      <c r="G19" s="20" t="s">
        <v>89</v>
      </c>
      <c r="H19" s="20" t="s">
        <v>120</v>
      </c>
      <c r="I19" s="1"/>
      <c r="J19" s="1"/>
      <c r="K19" s="1"/>
      <c r="L19" s="1"/>
      <c r="M19" s="1"/>
      <c r="O19" s="346"/>
      <c r="Q19" s="1"/>
      <c r="R19" s="1"/>
      <c r="S19" s="1"/>
      <c r="T19" s="19" t="s">
        <v>58</v>
      </c>
      <c r="U19" s="20" t="s">
        <v>89</v>
      </c>
      <c r="V19" s="20" t="s">
        <v>120</v>
      </c>
      <c r="W19" s="1"/>
      <c r="X19" s="1"/>
      <c r="Y19" s="1"/>
      <c r="Z19" s="1"/>
      <c r="AA19" s="1"/>
      <c r="AC19" s="346"/>
      <c r="AE19" s="30" t="str">
        <f ca="1"/>
        <v>MERCEDEZ GLE 53 Front Bumper LINE 2</v>
      </c>
      <c r="AF19" s="31">
        <f t="shared" ca="1" si="0"/>
        <v>1</v>
      </c>
      <c r="AG19" s="1"/>
      <c r="AH19" s="366"/>
      <c r="AJ19" s="11"/>
      <c r="AK19" s="87" t="s">
        <v>280</v>
      </c>
      <c r="AL19" s="11"/>
      <c r="AM19" s="12"/>
      <c r="AN19" s="11"/>
      <c r="AO19" s="12"/>
      <c r="AP19" s="12"/>
      <c r="AQ19" s="6" t="s">
        <v>315</v>
      </c>
      <c r="AR19" s="12"/>
      <c r="AS19" s="12"/>
      <c r="AT19" s="12"/>
      <c r="AU19" s="12"/>
      <c r="AV19" s="12"/>
      <c r="AW19" s="12"/>
      <c r="AX19" s="12"/>
      <c r="AY19" s="12"/>
      <c r="AZ19" s="12"/>
      <c r="BA19" s="12"/>
      <c r="BB19" s="12"/>
      <c r="BC19" s="12"/>
      <c r="BD19" s="12"/>
      <c r="BE19" s="12"/>
      <c r="BF19" s="12"/>
      <c r="BG19" s="12"/>
      <c r="BH19" s="12"/>
      <c r="BI19" s="12"/>
      <c r="BJ19" s="12"/>
      <c r="BK19" s="366"/>
      <c r="BO19"/>
      <c r="BP19"/>
      <c r="BQ19"/>
      <c r="BS19" s="346"/>
      <c r="BY19"/>
      <c r="CA19" s="346"/>
      <c r="CG19"/>
      <c r="CI19" s="346"/>
      <c r="CO19"/>
      <c r="CQ19" s="346"/>
      <c r="CU19" s="34"/>
      <c r="CV19"/>
      <c r="CW19"/>
      <c r="CY19" s="346"/>
      <c r="DE19"/>
      <c r="DG19" s="346"/>
      <c r="DK19" s="34"/>
      <c r="DL19"/>
      <c r="DM19"/>
      <c r="DO19" s="346"/>
      <c r="DS19" s="164"/>
      <c r="DT19" s="165"/>
      <c r="DU19"/>
      <c r="DW19" s="369"/>
      <c r="EA19" s="34"/>
      <c r="EB19"/>
      <c r="EC19"/>
      <c r="EE19" s="346"/>
      <c r="EI19" s="34"/>
      <c r="EJ19"/>
      <c r="EK19"/>
      <c r="EM19" s="346"/>
      <c r="EQ19" s="34"/>
      <c r="ER19"/>
      <c r="ES19"/>
      <c r="EU19" s="346"/>
      <c r="EY19" s="34"/>
      <c r="EZ19"/>
      <c r="FA19"/>
      <c r="FC19" s="369"/>
      <c r="FG19" s="34"/>
      <c r="FH19"/>
      <c r="FI19"/>
      <c r="FK19" s="346"/>
      <c r="FO19" s="34"/>
      <c r="FP19"/>
      <c r="FQ19"/>
      <c r="FS19" s="346"/>
      <c r="FW19" s="34"/>
      <c r="FX19"/>
      <c r="FY19"/>
      <c r="GA19" s="346"/>
      <c r="GE19" s="34"/>
      <c r="GF19"/>
      <c r="GG19"/>
      <c r="GI19" s="346"/>
      <c r="GM19" s="34"/>
      <c r="GN19"/>
      <c r="GO19"/>
      <c r="GQ19" s="346"/>
      <c r="GU19" s="34"/>
      <c r="GV19"/>
      <c r="GW19"/>
      <c r="GY19" s="346"/>
      <c r="HC19" s="34"/>
      <c r="HD19"/>
      <c r="HE19"/>
      <c r="HG19" s="346"/>
      <c r="HK19" s="34"/>
      <c r="HL19"/>
      <c r="HM19"/>
      <c r="HO19" s="346"/>
      <c r="HS19" s="34"/>
      <c r="HT19"/>
      <c r="HU19"/>
      <c r="HW19" s="346"/>
      <c r="IA19" s="34"/>
      <c r="IB19"/>
      <c r="IC19"/>
      <c r="IE19" s="346"/>
      <c r="II19" s="34"/>
      <c r="IJ19"/>
      <c r="IK19"/>
      <c r="IM19" s="346"/>
      <c r="IQ19" s="34"/>
      <c r="IR19"/>
      <c r="IS19"/>
      <c r="IU19" s="346"/>
      <c r="IY19" s="34"/>
      <c r="IZ19"/>
      <c r="JA19"/>
      <c r="JC19" s="346"/>
      <c r="JG19" s="34"/>
      <c r="JH19"/>
      <c r="JI19"/>
      <c r="JK19" s="346"/>
      <c r="JO19" s="34"/>
      <c r="JP19"/>
      <c r="JQ19"/>
      <c r="JS19" s="346"/>
      <c r="JW19" s="34"/>
      <c r="JX19"/>
      <c r="JY19"/>
      <c r="KA19" s="346"/>
      <c r="KE19" s="34"/>
      <c r="KF19"/>
      <c r="KG19"/>
      <c r="KI19" s="346"/>
      <c r="KM19" s="34"/>
      <c r="KN19"/>
      <c r="KO19"/>
      <c r="KQ19" s="346"/>
      <c r="KU19" s="34"/>
      <c r="KV19"/>
      <c r="KW19"/>
      <c r="KY19" s="346"/>
      <c r="LC19" s="34"/>
      <c r="LD19"/>
      <c r="LE19"/>
      <c r="LG19" s="346"/>
      <c r="LK19" s="34"/>
      <c r="LL19"/>
      <c r="LM19"/>
      <c r="LO19" s="346"/>
      <c r="LS19" s="34"/>
      <c r="LT19"/>
      <c r="LU19"/>
      <c r="LW19" s="346"/>
      <c r="MA19" s="34"/>
      <c r="MB19"/>
      <c r="MC19"/>
      <c r="ME19" s="346"/>
      <c r="MI19" s="34"/>
      <c r="MJ19"/>
      <c r="MK19"/>
      <c r="MM19" s="346"/>
      <c r="MQ19" s="34"/>
      <c r="MR19"/>
      <c r="MS19"/>
      <c r="MU19" s="346"/>
      <c r="MY19" s="34"/>
      <c r="MZ19"/>
      <c r="NA19"/>
      <c r="NC19" s="346"/>
      <c r="NG19" s="34"/>
      <c r="NH19"/>
      <c r="NI19"/>
      <c r="NK19" s="346"/>
      <c r="NO19" s="34"/>
      <c r="NP19"/>
      <c r="NQ19"/>
      <c r="NS19" s="346"/>
      <c r="NW19" s="34"/>
      <c r="NX19"/>
      <c r="NY19"/>
      <c r="OA19" s="346"/>
      <c r="OE19" s="34"/>
      <c r="OF19"/>
      <c r="OG19"/>
      <c r="OI19" s="346"/>
      <c r="OM19" s="34"/>
      <c r="ON19"/>
      <c r="OO19"/>
      <c r="OQ19" s="346"/>
      <c r="OU19" s="34"/>
      <c r="OV19"/>
      <c r="OW19"/>
      <c r="OY19" s="346"/>
      <c r="PC19" s="34"/>
      <c r="PD19"/>
      <c r="PE19"/>
      <c r="PG19" s="346"/>
      <c r="PK19" s="34"/>
      <c r="PL19"/>
      <c r="PM19"/>
      <c r="PO19" s="346"/>
      <c r="PS19" s="34"/>
      <c r="PT19"/>
      <c r="PU19"/>
      <c r="PW19" s="346"/>
      <c r="QA19" s="34"/>
      <c r="QB19"/>
      <c r="QC19"/>
      <c r="QE19" s="346"/>
      <c r="QI19" s="34"/>
      <c r="QJ19"/>
      <c r="QK19"/>
      <c r="QM19" s="346"/>
      <c r="QQ19" s="34"/>
      <c r="QR19"/>
      <c r="QS19"/>
      <c r="QU19" s="346"/>
      <c r="QY19" s="34"/>
      <c r="QZ19"/>
      <c r="RA19"/>
      <c r="RC19" s="346"/>
      <c r="RG19" s="34"/>
      <c r="RH19"/>
      <c r="RI19"/>
      <c r="RK19" s="346"/>
      <c r="RO19" s="34"/>
      <c r="RP19"/>
      <c r="RQ19"/>
      <c r="RS19" s="346"/>
      <c r="RW19" s="34"/>
      <c r="RX19"/>
      <c r="RY19"/>
      <c r="SA19" s="346"/>
      <c r="SE19" s="34"/>
      <c r="SF19"/>
      <c r="SG19"/>
      <c r="SI19" s="346"/>
      <c r="SM19" s="34"/>
      <c r="SN19"/>
      <c r="SO19"/>
      <c r="SQ19" s="346"/>
      <c r="SU19" s="34"/>
      <c r="SV19"/>
      <c r="SW19"/>
      <c r="SY19" s="346"/>
      <c r="TC19" s="34"/>
      <c r="TD19"/>
      <c r="TE19"/>
      <c r="TG19" s="346"/>
      <c r="TK19" s="34"/>
      <c r="TL19"/>
      <c r="TM19"/>
      <c r="TO19" s="346"/>
      <c r="TS19" s="34"/>
      <c r="TT19"/>
      <c r="TU19"/>
      <c r="TW19" s="346"/>
      <c r="UA19" s="34"/>
      <c r="UB19"/>
      <c r="UC19"/>
      <c r="UE19" s="346"/>
      <c r="UI19" s="34"/>
      <c r="UJ19"/>
      <c r="UK19"/>
      <c r="UM19" s="346"/>
      <c r="UQ19" s="34"/>
      <c r="UR19"/>
      <c r="US19"/>
      <c r="UU19" s="346"/>
      <c r="UY19" s="34"/>
      <c r="UZ19"/>
      <c r="VA19"/>
      <c r="VC19" s="346"/>
      <c r="VG19" s="34"/>
      <c r="VH19"/>
      <c r="VI19"/>
      <c r="VK19" s="346"/>
      <c r="VO19" s="34"/>
      <c r="VP19"/>
      <c r="VQ19"/>
      <c r="VS19" s="346"/>
    </row>
    <row r="20" spans="3:591" x14ac:dyDescent="0.4">
      <c r="C20" s="1"/>
      <c r="D20" s="1"/>
      <c r="E20" s="1"/>
      <c r="F20" s="19" t="s">
        <v>59</v>
      </c>
      <c r="G20" s="20" t="s">
        <v>90</v>
      </c>
      <c r="H20" s="20" t="s">
        <v>121</v>
      </c>
      <c r="I20" s="1"/>
      <c r="J20" s="1"/>
      <c r="K20" s="1"/>
      <c r="L20" s="1"/>
      <c r="M20" s="1"/>
      <c r="O20" s="346"/>
      <c r="Q20" s="1"/>
      <c r="R20" s="1"/>
      <c r="S20" s="1"/>
      <c r="T20" s="19" t="s">
        <v>59</v>
      </c>
      <c r="U20" s="20" t="s">
        <v>90</v>
      </c>
      <c r="V20" s="20" t="s">
        <v>121</v>
      </c>
      <c r="W20" s="1"/>
      <c r="X20" s="1"/>
      <c r="Y20" s="1"/>
      <c r="Z20" s="1"/>
      <c r="AA20" s="1"/>
      <c r="AC20" s="346"/>
      <c r="AE20" s="30" t="str">
        <f ca="1"/>
        <v>MERCEDEZ GLE 580 Front Bumper LINE 2</v>
      </c>
      <c r="AF20" s="31">
        <f t="shared" ca="1" si="0"/>
        <v>1</v>
      </c>
      <c r="AG20" s="1"/>
      <c r="AH20" s="366"/>
      <c r="AJ20" s="11"/>
      <c r="AK20" s="87" t="s">
        <v>281</v>
      </c>
      <c r="AL20" s="11"/>
      <c r="AM20" s="12"/>
      <c r="AN20" s="11"/>
      <c r="AO20" s="12"/>
      <c r="AP20" s="12"/>
      <c r="AQ20" s="12"/>
      <c r="AR20" s="12"/>
      <c r="AS20" s="12"/>
      <c r="AT20" s="12"/>
      <c r="AU20" s="12"/>
      <c r="AV20" s="12"/>
      <c r="AW20" s="12"/>
      <c r="AX20" s="12"/>
      <c r="AY20" s="12"/>
      <c r="AZ20" s="12"/>
      <c r="BA20" s="12"/>
      <c r="BB20" s="12"/>
      <c r="BC20" s="12"/>
      <c r="BD20" s="12"/>
      <c r="BE20" s="12"/>
      <c r="BF20" s="12"/>
      <c r="BG20" s="12"/>
      <c r="BH20" s="12"/>
      <c r="BI20" s="12"/>
      <c r="BJ20" s="12"/>
      <c r="BK20" s="366"/>
      <c r="BS20" s="346"/>
      <c r="CA20" s="346"/>
      <c r="CI20" s="346"/>
      <c r="CQ20" s="346"/>
      <c r="CY20" s="346"/>
      <c r="DG20" s="346"/>
      <c r="DO20" s="346"/>
      <c r="DW20" s="369"/>
      <c r="EE20" s="346"/>
      <c r="EM20" s="346"/>
      <c r="EU20" s="346"/>
      <c r="FC20" s="369"/>
      <c r="FK20" s="346"/>
      <c r="FS20" s="346"/>
      <c r="GA20" s="346"/>
      <c r="GI20" s="346"/>
      <c r="GQ20" s="346"/>
      <c r="GY20" s="346"/>
      <c r="HG20" s="346"/>
      <c r="HO20" s="346"/>
      <c r="HW20" s="346"/>
      <c r="IE20" s="346"/>
      <c r="IM20" s="346"/>
      <c r="IU20" s="346"/>
      <c r="JC20" s="346"/>
      <c r="JK20" s="346"/>
      <c r="JS20" s="346"/>
      <c r="KA20" s="346"/>
      <c r="KI20" s="346"/>
      <c r="KQ20" s="346"/>
      <c r="KY20" s="346"/>
      <c r="LG20" s="346"/>
      <c r="LO20" s="346"/>
      <c r="LW20" s="346"/>
      <c r="ME20" s="346"/>
      <c r="MM20" s="346"/>
      <c r="MU20" s="346"/>
      <c r="NC20" s="346"/>
      <c r="NK20" s="346"/>
      <c r="NS20" s="346"/>
      <c r="OA20" s="346"/>
      <c r="OI20" s="346"/>
      <c r="OQ20" s="346"/>
      <c r="OY20" s="346"/>
      <c r="PG20" s="346"/>
      <c r="PO20" s="346"/>
      <c r="PW20" s="346"/>
      <c r="QE20" s="346"/>
      <c r="QM20" s="346"/>
      <c r="QU20" s="346"/>
      <c r="RC20" s="346"/>
      <c r="RK20" s="346"/>
      <c r="RS20" s="346"/>
      <c r="SA20" s="346"/>
      <c r="SI20" s="346"/>
      <c r="SQ20" s="346"/>
      <c r="SY20" s="346"/>
      <c r="TG20" s="346"/>
      <c r="TO20" s="346"/>
      <c r="TW20" s="346"/>
      <c r="UE20" s="346"/>
      <c r="UM20" s="346"/>
      <c r="UU20" s="346"/>
      <c r="VC20" s="346"/>
      <c r="VK20" s="346"/>
      <c r="VS20" s="346"/>
    </row>
    <row r="21" spans="3:591" x14ac:dyDescent="0.4">
      <c r="C21" s="1"/>
      <c r="D21" s="1"/>
      <c r="E21" s="1"/>
      <c r="F21" s="19" t="s">
        <v>60</v>
      </c>
      <c r="G21" s="20" t="s">
        <v>91</v>
      </c>
      <c r="H21" s="20" t="s">
        <v>122</v>
      </c>
      <c r="I21" s="1"/>
      <c r="J21" s="1"/>
      <c r="K21" s="1"/>
      <c r="L21" s="1"/>
      <c r="M21" s="1"/>
      <c r="O21" s="346"/>
      <c r="Q21" s="1"/>
      <c r="R21" s="1"/>
      <c r="S21" s="1"/>
      <c r="T21" s="19" t="s">
        <v>60</v>
      </c>
      <c r="U21" s="20" t="s">
        <v>91</v>
      </c>
      <c r="V21" s="20" t="s">
        <v>122</v>
      </c>
      <c r="W21" s="1"/>
      <c r="X21" s="1"/>
      <c r="Y21" s="1"/>
      <c r="Z21" s="1"/>
      <c r="AA21" s="1"/>
      <c r="AC21" s="346"/>
      <c r="AE21" s="30" t="str">
        <f ca="1"/>
        <v>MERCEDEZ LE 300 Coupé Front Bumper LINE 4</v>
      </c>
      <c r="AF21" s="31">
        <f t="shared" ca="1" si="0"/>
        <v>1</v>
      </c>
      <c r="AG21" s="1"/>
      <c r="AH21" s="366"/>
      <c r="AJ21" s="11"/>
      <c r="AK21" s="87" t="s">
        <v>282</v>
      </c>
      <c r="AL21" s="11"/>
      <c r="AM21" s="12"/>
      <c r="AN21" s="11"/>
      <c r="AO21" s="12"/>
      <c r="AP21" s="12"/>
      <c r="AQ21" s="12"/>
      <c r="AR21" s="12"/>
      <c r="AS21" s="12"/>
      <c r="AT21" s="12"/>
      <c r="AU21" s="12"/>
      <c r="AV21" s="12"/>
      <c r="AW21" s="12"/>
      <c r="AX21" s="12"/>
      <c r="AY21" s="12"/>
      <c r="AZ21" s="12"/>
      <c r="BA21" s="12"/>
      <c r="BB21" s="12"/>
      <c r="BC21" s="12"/>
      <c r="BD21" s="12"/>
      <c r="BE21" s="12"/>
      <c r="BF21" s="12"/>
      <c r="BG21" s="12"/>
      <c r="BH21" s="12"/>
      <c r="BI21" s="12"/>
      <c r="BJ21" s="12"/>
      <c r="BK21" s="366"/>
      <c r="BO21" s="353" t="str">
        <f>SUBSTITUTE(LOWER(BS$1)," ","_") &amp; "_"</f>
        <v>mercedez_gle_53_rear_axle_line_2_</v>
      </c>
      <c r="BP21" s="353"/>
      <c r="BS21" s="346"/>
      <c r="BW21" s="353" t="str">
        <f>SUBSTITUTE(LOWER(CA$1)," ","_") &amp; "_"</f>
        <v>mercedez_gle_580_rear_axle_line_2_</v>
      </c>
      <c r="BX21" s="353"/>
      <c r="CA21" s="346"/>
      <c r="CE21" s="353" t="str">
        <f>SUBSTITUTE(LOWER(CI$1)," ","_") &amp; "_"</f>
        <v>mercedez_le_300_coupé_rear_axle_line_2_</v>
      </c>
      <c r="CF21" s="353"/>
      <c r="CI21" s="346"/>
      <c r="CM21" s="353" t="str">
        <f>SUBSTITUTE(LOWER(CQ$1)," ","_") &amp; "_"</f>
        <v>mercedez_gle_53_front_axle_line_1_</v>
      </c>
      <c r="CN21" s="353"/>
      <c r="CQ21" s="346"/>
      <c r="CU21" s="353" t="str">
        <f>SUBSTITUTE(LOWER(CY$1)," ","_") &amp; "_"</f>
        <v>mercedez_gle_580_front_axle_line_1_</v>
      </c>
      <c r="CV21" s="353"/>
      <c r="CY21" s="346"/>
      <c r="DC21" s="353" t="str">
        <f>SUBSTITUTE(LOWER(DG$1)," ","_") &amp; "_"</f>
        <v>mercedez_le_300_coupé_front_axle_line_1_</v>
      </c>
      <c r="DD21" s="353"/>
      <c r="DG21" s="346"/>
      <c r="DK21" s="353" t="str">
        <f>SUBSTITUTE(LOWER(DO$1)," ","_") &amp; "_"</f>
        <v>mercedez_gle_53_rear_bumper_line_1_</v>
      </c>
      <c r="DL21" s="353"/>
      <c r="DO21" s="346"/>
      <c r="DS21" s="353" t="str">
        <f>SUBSTITUTE(LOWER(DW$1)," ","_") &amp; "_"</f>
        <v>mercedez_gle_580_rear_bumper_line_1_</v>
      </c>
      <c r="DT21" s="353"/>
      <c r="DW21" s="369"/>
      <c r="EA21" s="353" t="str">
        <f>SUBSTITUTE(LOWER(EE$1)," ","_") &amp; "_"</f>
        <v>mercedez_le_300_coupé_rear_bumper_line_3_</v>
      </c>
      <c r="EB21" s="353"/>
      <c r="EE21" s="346"/>
      <c r="EI21" s="353" t="str">
        <f>SUBSTITUTE(LOWER(EM$1)," ","_") &amp; "_"</f>
        <v>bmw_x7_rear_bumper_line_1_</v>
      </c>
      <c r="EJ21" s="353"/>
      <c r="EM21" s="346"/>
      <c r="EQ21" s="353" t="str">
        <f>SUBSTITUTE(LOWER(EU$1)," ","_") &amp; "_"</f>
        <v>bmw_420d_gran_coupé_rear_bumper_line_3_</v>
      </c>
      <c r="ER21" s="353"/>
      <c r="EU21" s="346"/>
      <c r="EY21" s="370" t="str">
        <f>SUBSTITUTE(LOWER(FC$1)," ","_") &amp; "_"</f>
        <v>bmw_m550i_xdrive_rear_bumper_line_3_</v>
      </c>
      <c r="EZ21" s="370"/>
      <c r="FC21" s="369"/>
      <c r="FG21" s="353" t="str">
        <f>SUBSTITUTE(LOWER(FK$1)," ","_") &amp; "_"</f>
        <v>mercedez_gle_53_front_bumper_line_2_</v>
      </c>
      <c r="FH21" s="353"/>
      <c r="FK21" s="346"/>
      <c r="FO21" s="353" t="str">
        <f>SUBSTITUTE(LOWER(FS$1)," ","_") &amp; "_"</f>
        <v>mercedez_gle_580_front_bumper_line_2_</v>
      </c>
      <c r="FP21" s="353"/>
      <c r="FS21" s="346"/>
      <c r="FW21" s="353" t="str">
        <f>SUBSTITUTE(LOWER(GA$1)," ","_") &amp; "_"</f>
        <v>mercedez_le_300_coupé_front_bumper_line_4_</v>
      </c>
      <c r="FX21" s="353"/>
      <c r="GA21" s="346"/>
      <c r="GE21" s="353" t="str">
        <f>SUBSTITUTE(LOWER(GI$1)," ","_") &amp; "_"</f>
        <v>bmw_x7_front_bumper_line_2_</v>
      </c>
      <c r="GF21" s="353"/>
      <c r="GI21" s="346"/>
      <c r="GM21" s="353" t="str">
        <f>SUBSTITUTE(LOWER(GQ$1)," ","_") &amp; "_"</f>
        <v>bmw_420d_gran_coupé_front_bumper_line_4_</v>
      </c>
      <c r="GN21" s="353"/>
      <c r="GQ21" s="346"/>
      <c r="GU21" s="353" t="str">
        <f>SUBSTITUTE(LOWER(GY$1)," ","_") &amp; "_"</f>
        <v>bmw_m550i_xdrive_front_bumper_line_4_</v>
      </c>
      <c r="GV21" s="353"/>
      <c r="GY21" s="346"/>
      <c r="HC21" s="353" t="str">
        <f>SUBSTITUTE(LOWER(HG$1)," ","_") &amp; "_"</f>
        <v>bmw_x7_b-pillar_lh_line_3_</v>
      </c>
      <c r="HD21" s="353"/>
      <c r="HG21" s="346"/>
      <c r="HK21" s="353" t="str">
        <f>SUBSTITUTE(LOWER(HO$1)," ","_") &amp; "_"</f>
        <v>bmw_x7_b-pillar_rh_line_3_</v>
      </c>
      <c r="HL21" s="353"/>
      <c r="HO21" s="346"/>
      <c r="HS21" s="353" t="str">
        <f>SUBSTITUTE(LOWER(HW$1)," ","_") &amp; "_"</f>
        <v>bmw_420d_gran_coupé_b-pillar_lh_line_3_</v>
      </c>
      <c r="HT21" s="353"/>
      <c r="HW21" s="346"/>
      <c r="IA21" s="353" t="str">
        <f>SUBSTITUTE(LOWER(IE$1)," ","_") &amp; "_"</f>
        <v>bmw_420d_gran_coupé_b-pillar_rh_line_3_</v>
      </c>
      <c r="IB21" s="353"/>
      <c r="IE21" s="346"/>
      <c r="II21" s="353" t="str">
        <f>SUBSTITUTE(LOWER(IM$1)," ","_") &amp; "_"</f>
        <v>bmw_m550i_xdrive_b-pillar_lh_line_3_</v>
      </c>
      <c r="IJ21" s="353"/>
      <c r="IM21" s="346"/>
      <c r="IQ21" s="353" t="str">
        <f>SUBSTITUTE(LOWER(IU$1)," ","_") &amp; "_"</f>
        <v>bmw_m550i_xdrive_b-pillar_rh_line_3_</v>
      </c>
      <c r="IR21" s="353"/>
      <c r="IU21" s="346"/>
      <c r="IY21" s="353" t="str">
        <f>SUBSTITUTE(LOWER(JC$1)," ","_") &amp; "_"</f>
        <v>bmw_x7_a-pillar_lh_line_2_</v>
      </c>
      <c r="IZ21" s="353"/>
      <c r="JC21" s="346"/>
      <c r="JG21" s="353" t="str">
        <f>SUBSTITUTE(LOWER(JK$1)," ","_") &amp; "_"</f>
        <v>bmw_x7_a-pillar_rh_line_2_</v>
      </c>
      <c r="JH21" s="353"/>
      <c r="JK21" s="346"/>
      <c r="JO21" s="353" t="str">
        <f>SUBSTITUTE(LOWER(JS$1)," ","_") &amp; "_"</f>
        <v>bmw_420d_gran_coupé_a-pillar_lh_line_2_</v>
      </c>
      <c r="JP21" s="353"/>
      <c r="JS21" s="346"/>
      <c r="JW21" s="353" t="str">
        <f>SUBSTITUTE(LOWER(KA$1)," ","_") &amp; "_"</f>
        <v>bmw_420d_gran_coupé_a-pillar_rh_line_2_</v>
      </c>
      <c r="JX21" s="353"/>
      <c r="KA21" s="346"/>
      <c r="KE21" s="353" t="str">
        <f>SUBSTITUTE(LOWER(KI$1)," ","_") &amp; "_"</f>
        <v>bmw_m550i_xdrive_a-pillar_lh_line_2_</v>
      </c>
      <c r="KF21" s="353"/>
      <c r="KI21" s="346"/>
      <c r="KM21" s="353" t="str">
        <f>SUBSTITUTE(LOWER(KQ$1)," ","_") &amp; "_"</f>
        <v>bmw_m550i_xdrive_a-pillar_rh_line_2_</v>
      </c>
      <c r="KN21" s="353"/>
      <c r="KQ21" s="346"/>
      <c r="KU21" s="353" t="str">
        <f>SUBSTITUTE(LOWER(KY$1)," ","_") &amp; "_"</f>
        <v>mercedez_gle_53_c-pillar_lh_line_2_</v>
      </c>
      <c r="KV21" s="353"/>
      <c r="KY21" s="346"/>
      <c r="LC21" s="353" t="str">
        <f>SUBSTITUTE(LOWER(LG$1)," ","_") &amp; "_"</f>
        <v>mercedez_gle_53_c-pillar_rh_line_1_</v>
      </c>
      <c r="LD21" s="353"/>
      <c r="LG21" s="346"/>
      <c r="LK21" s="353" t="str">
        <f>SUBSTITUTE(LOWER(LO$1)," ","_") &amp; "_"</f>
        <v>mercedez_gle_580_c-pillar_lh_line_2_</v>
      </c>
      <c r="LL21" s="353"/>
      <c r="LO21" s="346"/>
      <c r="LS21" s="353" t="str">
        <f>SUBSTITUTE(LOWER(LW$1)," ","_") &amp; "_"</f>
        <v>mercedez_gle_580_c-pillar_rh_line_1_</v>
      </c>
      <c r="LT21" s="353"/>
      <c r="LW21" s="346"/>
      <c r="MA21" s="353" t="str">
        <f>SUBSTITUTE(LOWER(ME$1)," ","_") &amp; "_"</f>
        <v>mercedez_le_300_coupé_c-pillar_lh_line_2_</v>
      </c>
      <c r="MB21" s="353"/>
      <c r="ME21" s="346"/>
      <c r="MI21" s="353" t="str">
        <f>SUBSTITUTE(LOWER(MM$1)," ","_") &amp; "_"</f>
        <v>mercedez_le_300_coupé_c-pillar_rh_line_1_</v>
      </c>
      <c r="MJ21" s="353"/>
      <c r="MM21" s="346"/>
      <c r="MQ21" s="353" t="str">
        <f>SUBSTITUTE(LOWER(MU$1)," ","_") &amp; "_"</f>
        <v>bmw_x7_c-pillar_lh_line_2_</v>
      </c>
      <c r="MR21" s="353"/>
      <c r="MU21" s="346"/>
      <c r="MY21" s="353" t="str">
        <f>SUBSTITUTE(LOWER(NC$1)," ","_") &amp; "_"</f>
        <v>bmw_x7_c-pillar_rh_line_1_</v>
      </c>
      <c r="MZ21" s="353"/>
      <c r="NC21" s="346"/>
      <c r="NG21" s="353" t="str">
        <f>SUBSTITUTE(LOWER(NK$1)," ","_") &amp; "_"</f>
        <v>bmw_420d_gran_coupé_c-pillar_lh_line_2_</v>
      </c>
      <c r="NH21" s="353"/>
      <c r="NK21" s="346"/>
      <c r="NO21" s="353" t="str">
        <f>SUBSTITUTE(LOWER(NS$1)," ","_") &amp; "_"</f>
        <v>bmw_420d_gran_coupé_c-pillar_rh_line_1_</v>
      </c>
      <c r="NP21" s="353"/>
      <c r="NS21" s="346"/>
      <c r="NW21" s="353" t="str">
        <f>SUBSTITUTE(LOWER(OA$1)," ","_") &amp; "_"</f>
        <v>bmw_m550i_xdrive_c-pillar_lh_line_2_</v>
      </c>
      <c r="NX21" s="353"/>
      <c r="OA21" s="346"/>
      <c r="OE21" s="353" t="str">
        <f>SUBSTITUTE(LOWER(OI$1)," ","_") &amp; "_"</f>
        <v>bmw_m550i_xdrive_c-pillar_rh_line_1_</v>
      </c>
      <c r="OF21" s="353"/>
      <c r="OI21" s="346"/>
      <c r="OM21" s="353" t="str">
        <f>SUBSTITUTE(LOWER(OQ$1)," ","_") &amp; "_"</f>
        <v>mercedez_gle_53_ip_lhd_line_1_</v>
      </c>
      <c r="ON21" s="353"/>
      <c r="OQ21" s="346"/>
      <c r="OU21" s="353" t="str">
        <f>SUBSTITUTE(LOWER(OY$1)," ","_") &amp; "_"</f>
        <v>mercedez_gle_53_ip_rhd_line_2_</v>
      </c>
      <c r="OV21" s="353"/>
      <c r="OY21" s="346"/>
      <c r="PC21" s="353" t="str">
        <f>SUBSTITUTE(LOWER(PG$1)," ","_") &amp; "_"</f>
        <v>mercedez_gle_580_ip_lhd_line_1_</v>
      </c>
      <c r="PD21" s="353"/>
      <c r="PG21" s="346"/>
      <c r="PK21" s="353" t="str">
        <f>SUBSTITUTE(LOWER(PO$1)," ","_") &amp; "_"</f>
        <v>mercedez_gle_580_ip_rhd_line_2_</v>
      </c>
      <c r="PL21" s="353"/>
      <c r="PO21" s="346"/>
      <c r="PS21" s="353" t="str">
        <f>SUBSTITUTE(LOWER(PW$1)," ","_") &amp; "_"</f>
        <v>mercedez_le_300_coupé_ip_lhd_line_1_</v>
      </c>
      <c r="PT21" s="353"/>
      <c r="PW21" s="346"/>
      <c r="QA21" s="353" t="str">
        <f>SUBSTITUTE(LOWER(QE$1)," ","_") &amp; "_"</f>
        <v>mercedez_le_300_coupé_ip_rhd_line_2_</v>
      </c>
      <c r="QB21" s="353"/>
      <c r="QE21" s="346"/>
      <c r="QI21" s="353" t="str">
        <f>SUBSTITUTE(LOWER(QM$1)," ","_") &amp; "_"</f>
        <v>bmw_x7_ip_lhd_line_2_</v>
      </c>
      <c r="QJ21" s="353"/>
      <c r="QM21" s="346"/>
      <c r="QQ21" s="353" t="str">
        <f>SUBSTITUTE(LOWER(QU$1)," ","_") &amp; "_"</f>
        <v>bmw_x7_ip_rhd_line_1_</v>
      </c>
      <c r="QR21" s="353"/>
      <c r="QU21" s="346"/>
      <c r="QY21" s="353" t="str">
        <f>SUBSTITUTE(LOWER(RC$1)," ","_") &amp; "_"</f>
        <v>bmw_420d_gran_coupé_ip_lhd_line_2_</v>
      </c>
      <c r="QZ21" s="353"/>
      <c r="RC21" s="346"/>
      <c r="RG21" s="353" t="str">
        <f>SUBSTITUTE(LOWER(RK$1)," ","_") &amp; "_"</f>
        <v>bmw_420d_gran_coupé_ip_rhd_line_1_</v>
      </c>
      <c r="RH21" s="353"/>
      <c r="RK21" s="346"/>
      <c r="RO21" s="353" t="str">
        <f>SUBSTITUTE(LOWER(RS$1)," ","_") &amp; "_"</f>
        <v>bmw_m550i_xdrive_ip_lhd_line_2_</v>
      </c>
      <c r="RP21" s="353"/>
      <c r="RS21" s="346"/>
      <c r="RW21" s="353" t="str">
        <f>SUBSTITUTE(LOWER(SA$1)," ","_") &amp; "_"</f>
        <v>bmw_m550i_xdrive_ip_rhd_line_1_</v>
      </c>
      <c r="RX21" s="353"/>
      <c r="SA21" s="346"/>
      <c r="SE21" s="353" t="str">
        <f>SUBSTITUTE(LOWER(SI$1)," ","_") &amp; "_"</f>
        <v>bmw_x7_a-pillar_lh_line_4_</v>
      </c>
      <c r="SF21" s="353"/>
      <c r="SI21" s="346"/>
      <c r="SM21" s="353" t="str">
        <f>SUBSTITUTE(LOWER(SQ$1)," ","_") &amp; "_"</f>
        <v>bmw_x7_a-pillar_rh_line_4_</v>
      </c>
      <c r="SN21" s="353"/>
      <c r="SQ21" s="346"/>
      <c r="SU21" s="353" t="str">
        <f>SUBSTITUTE(LOWER(SY$1)," ","_") &amp; "_"</f>
        <v>bmw_420d_gran_coupé_a-pillar_lh_line_4_</v>
      </c>
      <c r="SV21" s="353"/>
      <c r="SY21" s="346"/>
      <c r="TC21" s="353" t="str">
        <f>SUBSTITUTE(LOWER(TG$1)," ","_") &amp; "_"</f>
        <v>bmw_420d_gran_coupé_a-pillar_rh_line_4_</v>
      </c>
      <c r="TD21" s="353"/>
      <c r="TG21" s="346"/>
      <c r="TK21" s="353" t="str">
        <f>SUBSTITUTE(LOWER(TO$1)," ","_") &amp; "_"</f>
        <v>bmw_m550i_xdrive_a-pillar_lh_line_4_</v>
      </c>
      <c r="TL21" s="353"/>
      <c r="TO21" s="346"/>
      <c r="TS21" s="353" t="str">
        <f>SUBSTITUTE(LOWER(TW$1)," ","_") &amp; "_"</f>
        <v>bmw_m550i_xdrive_a-pillar_rh_line_4_</v>
      </c>
      <c r="TT21" s="353"/>
      <c r="TW21" s="346"/>
      <c r="UA21" s="353" t="str">
        <f>SUBSTITUTE(LOWER(UE$1)," ","_") &amp; "_"</f>
        <v>mercedez_gle_53_c-pillar_lh_line_4_</v>
      </c>
      <c r="UB21" s="353"/>
      <c r="UE21" s="346"/>
      <c r="UI21" s="353" t="str">
        <f>SUBSTITUTE(LOWER(UM$1)," ","_") &amp; "_"</f>
        <v>mercedez_gle_53_c-pillar_rh_line_3_</v>
      </c>
      <c r="UJ21" s="353"/>
      <c r="UM21" s="346"/>
      <c r="UQ21" s="353" t="str">
        <f>SUBSTITUTE(LOWER(UU$1)," ","_") &amp; "_"</f>
        <v>mercedez_gle_580_c-pillar_lh_line_4_</v>
      </c>
      <c r="UR21" s="353"/>
      <c r="UU21" s="346"/>
      <c r="UY21" s="353" t="str">
        <f>SUBSTITUTE(LOWER(VC$1)," ","_") &amp; "_"</f>
        <v>mercedez_gle_580_c-pillar_rh_line_3_</v>
      </c>
      <c r="UZ21" s="353"/>
      <c r="VC21" s="346"/>
      <c r="VG21" s="353" t="str">
        <f>SUBSTITUTE(LOWER(VK$1)," ","_") &amp; "_"</f>
        <v>mercedez_le_300_coupé_c-pillar_lh_line_4_</v>
      </c>
      <c r="VH21" s="353"/>
      <c r="VK21" s="346"/>
      <c r="VO21" s="353" t="str">
        <f>SUBSTITUTE(LOWER(VS$1)," ","_") &amp; "_"</f>
        <v>mercedez_le_300_coupé_c-pillar_rh_line_3_</v>
      </c>
      <c r="VP21" s="353"/>
      <c r="VS21" s="346"/>
    </row>
    <row r="22" spans="3:591" x14ac:dyDescent="0.4">
      <c r="C22" s="1"/>
      <c r="D22" s="1"/>
      <c r="E22" s="1"/>
      <c r="F22" s="19" t="s">
        <v>61</v>
      </c>
      <c r="G22" s="20" t="s">
        <v>92</v>
      </c>
      <c r="H22" s="20" t="s">
        <v>123</v>
      </c>
      <c r="I22" s="1"/>
      <c r="J22" s="1"/>
      <c r="K22" s="1"/>
      <c r="L22" s="1"/>
      <c r="M22" s="1"/>
      <c r="O22" s="346"/>
      <c r="Q22" s="1"/>
      <c r="R22" s="1"/>
      <c r="S22" s="1"/>
      <c r="T22" s="19" t="s">
        <v>61</v>
      </c>
      <c r="U22" s="20" t="s">
        <v>92</v>
      </c>
      <c r="V22" s="20" t="s">
        <v>123</v>
      </c>
      <c r="W22" s="1"/>
      <c r="X22" s="1"/>
      <c r="Y22" s="1"/>
      <c r="Z22" s="1"/>
      <c r="AA22" s="1"/>
      <c r="AC22" s="346"/>
      <c r="AE22" s="30" t="str">
        <f ca="1"/>
        <v>BMW X7 Front Bumper LINE 2</v>
      </c>
      <c r="AF22" s="31">
        <f t="shared" ca="1" si="0"/>
        <v>1</v>
      </c>
      <c r="AG22" s="1"/>
      <c r="AH22" s="366"/>
      <c r="AJ22" s="11"/>
      <c r="AK22" s="87" t="s">
        <v>283</v>
      </c>
      <c r="AL22" s="11"/>
      <c r="AM22" s="12"/>
      <c r="AN22" s="11"/>
      <c r="AO22" s="12"/>
      <c r="AP22" s="12"/>
      <c r="AQ22" s="12"/>
      <c r="AR22" s="12"/>
      <c r="AS22" s="12"/>
      <c r="AT22" s="12"/>
      <c r="AU22" s="12"/>
      <c r="AV22" s="12"/>
      <c r="AW22" s="12"/>
      <c r="AX22" s="12"/>
      <c r="AY22" s="12"/>
      <c r="AZ22" s="12"/>
      <c r="BA22" s="12"/>
      <c r="BB22" s="12"/>
      <c r="BC22" s="12"/>
      <c r="BD22" s="12"/>
      <c r="BE22" s="12"/>
      <c r="BF22" s="12"/>
      <c r="BG22" s="12"/>
      <c r="BH22" s="12"/>
      <c r="BI22" s="12"/>
      <c r="BJ22" s="12"/>
      <c r="BK22" s="366"/>
      <c r="BO22" s="354" t="s">
        <v>36</v>
      </c>
      <c r="BP22" s="355"/>
      <c r="BS22" s="346"/>
      <c r="BW22" s="354" t="s">
        <v>36</v>
      </c>
      <c r="BX22" s="355"/>
      <c r="CA22" s="346"/>
      <c r="CE22" s="354" t="s">
        <v>37</v>
      </c>
      <c r="CF22" s="355"/>
      <c r="CI22" s="346"/>
      <c r="CM22" s="354" t="s">
        <v>36</v>
      </c>
      <c r="CN22" s="355"/>
      <c r="CQ22" s="346"/>
      <c r="CU22" s="354" t="s">
        <v>36</v>
      </c>
      <c r="CV22" s="355"/>
      <c r="CY22" s="346"/>
      <c r="DC22" s="354" t="s">
        <v>36</v>
      </c>
      <c r="DD22" s="355"/>
      <c r="DG22" s="346"/>
      <c r="DK22" s="354" t="s">
        <v>36</v>
      </c>
      <c r="DL22" s="355"/>
      <c r="DO22" s="346"/>
      <c r="DS22" s="354" t="s">
        <v>36</v>
      </c>
      <c r="DT22" s="355"/>
      <c r="DW22" s="369"/>
      <c r="EA22" s="354" t="s">
        <v>36</v>
      </c>
      <c r="EB22" s="355"/>
      <c r="EE22" s="346"/>
      <c r="EI22" s="354" t="s">
        <v>36</v>
      </c>
      <c r="EJ22" s="355"/>
      <c r="EM22" s="346"/>
      <c r="EQ22" s="354" t="s">
        <v>36</v>
      </c>
      <c r="ER22" s="355"/>
      <c r="EU22" s="346"/>
      <c r="EY22" s="371" t="s">
        <v>36</v>
      </c>
      <c r="EZ22" s="372"/>
      <c r="FC22" s="369"/>
      <c r="FG22" s="354" t="s">
        <v>36</v>
      </c>
      <c r="FH22" s="355"/>
      <c r="FK22" s="346"/>
      <c r="FO22" s="354" t="s">
        <v>36</v>
      </c>
      <c r="FP22" s="355"/>
      <c r="FS22" s="346"/>
      <c r="FW22" s="354" t="s">
        <v>36</v>
      </c>
      <c r="FX22" s="355"/>
      <c r="GA22" s="346"/>
      <c r="GE22" s="354" t="s">
        <v>36</v>
      </c>
      <c r="GF22" s="355"/>
      <c r="GI22" s="346"/>
      <c r="GM22" s="354" t="s">
        <v>36</v>
      </c>
      <c r="GN22" s="355"/>
      <c r="GQ22" s="346"/>
      <c r="GU22" s="354" t="s">
        <v>36</v>
      </c>
      <c r="GV22" s="355"/>
      <c r="GY22" s="346"/>
      <c r="HC22" s="354" t="s">
        <v>36</v>
      </c>
      <c r="HD22" s="355"/>
      <c r="HG22" s="346"/>
      <c r="HK22" s="354" t="s">
        <v>36</v>
      </c>
      <c r="HL22" s="355"/>
      <c r="HO22" s="346"/>
      <c r="HS22" s="354" t="s">
        <v>36</v>
      </c>
      <c r="HT22" s="355"/>
      <c r="HW22" s="346"/>
      <c r="IA22" s="354" t="s">
        <v>36</v>
      </c>
      <c r="IB22" s="355"/>
      <c r="IE22" s="346"/>
      <c r="II22" s="354" t="s">
        <v>36</v>
      </c>
      <c r="IJ22" s="355"/>
      <c r="IM22" s="346"/>
      <c r="IQ22" s="354" t="s">
        <v>36</v>
      </c>
      <c r="IR22" s="355"/>
      <c r="IU22" s="346"/>
      <c r="IY22" s="354" t="s">
        <v>36</v>
      </c>
      <c r="IZ22" s="355"/>
      <c r="JC22" s="346"/>
      <c r="JG22" s="354" t="s">
        <v>36</v>
      </c>
      <c r="JH22" s="355"/>
      <c r="JK22" s="346"/>
      <c r="JO22" s="354" t="s">
        <v>36</v>
      </c>
      <c r="JP22" s="355"/>
      <c r="JS22" s="346"/>
      <c r="JW22" s="354" t="s">
        <v>36</v>
      </c>
      <c r="JX22" s="355"/>
      <c r="KA22" s="346"/>
      <c r="KE22" s="354" t="s">
        <v>36</v>
      </c>
      <c r="KF22" s="355"/>
      <c r="KI22" s="346"/>
      <c r="KM22" s="354" t="s">
        <v>36</v>
      </c>
      <c r="KN22" s="355"/>
      <c r="KQ22" s="346"/>
      <c r="KU22" s="354" t="s">
        <v>36</v>
      </c>
      <c r="KV22" s="355"/>
      <c r="KY22" s="346"/>
      <c r="LC22" s="354" t="s">
        <v>36</v>
      </c>
      <c r="LD22" s="355"/>
      <c r="LG22" s="346"/>
      <c r="LK22" s="354" t="s">
        <v>36</v>
      </c>
      <c r="LL22" s="355"/>
      <c r="LO22" s="346"/>
      <c r="LS22" s="354" t="s">
        <v>36</v>
      </c>
      <c r="LT22" s="355"/>
      <c r="LW22" s="346"/>
      <c r="MA22" s="354" t="s">
        <v>36</v>
      </c>
      <c r="MB22" s="355"/>
      <c r="ME22" s="346"/>
      <c r="MI22" s="354" t="s">
        <v>36</v>
      </c>
      <c r="MJ22" s="355"/>
      <c r="MM22" s="346"/>
      <c r="MQ22" s="354" t="s">
        <v>36</v>
      </c>
      <c r="MR22" s="355"/>
      <c r="MU22" s="346"/>
      <c r="MY22" s="354" t="s">
        <v>36</v>
      </c>
      <c r="MZ22" s="355"/>
      <c r="NC22" s="346"/>
      <c r="NG22" s="354" t="s">
        <v>36</v>
      </c>
      <c r="NH22" s="355"/>
      <c r="NK22" s="346"/>
      <c r="NO22" s="354" t="s">
        <v>36</v>
      </c>
      <c r="NP22" s="355"/>
      <c r="NS22" s="346"/>
      <c r="NW22" s="354" t="s">
        <v>36</v>
      </c>
      <c r="NX22" s="355"/>
      <c r="OA22" s="346"/>
      <c r="OE22" s="354" t="s">
        <v>36</v>
      </c>
      <c r="OF22" s="355"/>
      <c r="OI22" s="346"/>
      <c r="OM22" s="354" t="s">
        <v>36</v>
      </c>
      <c r="ON22" s="355"/>
      <c r="OQ22" s="346"/>
      <c r="OU22" s="354" t="s">
        <v>36</v>
      </c>
      <c r="OV22" s="355"/>
      <c r="OY22" s="346"/>
      <c r="PC22" s="354" t="s">
        <v>36</v>
      </c>
      <c r="PD22" s="355"/>
      <c r="PG22" s="346"/>
      <c r="PK22" s="354" t="s">
        <v>36</v>
      </c>
      <c r="PL22" s="355"/>
      <c r="PO22" s="346"/>
      <c r="PS22" s="354" t="s">
        <v>36</v>
      </c>
      <c r="PT22" s="355"/>
      <c r="PW22" s="346"/>
      <c r="QA22" s="354" t="s">
        <v>36</v>
      </c>
      <c r="QB22" s="355"/>
      <c r="QE22" s="346"/>
      <c r="QI22" s="354" t="s">
        <v>36</v>
      </c>
      <c r="QJ22" s="355"/>
      <c r="QM22" s="346"/>
      <c r="QQ22" s="354" t="s">
        <v>36</v>
      </c>
      <c r="QR22" s="355"/>
      <c r="QU22" s="346"/>
      <c r="QY22" s="354" t="s">
        <v>36</v>
      </c>
      <c r="QZ22" s="355"/>
      <c r="RC22" s="346"/>
      <c r="RG22" s="354" t="s">
        <v>36</v>
      </c>
      <c r="RH22" s="355"/>
      <c r="RK22" s="346"/>
      <c r="RO22" s="354" t="s">
        <v>36</v>
      </c>
      <c r="RP22" s="355"/>
      <c r="RS22" s="346"/>
      <c r="RW22" s="354" t="s">
        <v>36</v>
      </c>
      <c r="RX22" s="355"/>
      <c r="SA22" s="346"/>
      <c r="SE22" s="354" t="s">
        <v>36</v>
      </c>
      <c r="SF22" s="355"/>
      <c r="SI22" s="346"/>
      <c r="SM22" s="354" t="s">
        <v>36</v>
      </c>
      <c r="SN22" s="355"/>
      <c r="SQ22" s="346"/>
      <c r="SU22" s="354" t="s">
        <v>36</v>
      </c>
      <c r="SV22" s="355"/>
      <c r="SY22" s="346"/>
      <c r="TC22" s="354" t="s">
        <v>36</v>
      </c>
      <c r="TD22" s="355"/>
      <c r="TG22" s="346"/>
      <c r="TK22" s="354" t="s">
        <v>36</v>
      </c>
      <c r="TL22" s="355"/>
      <c r="TO22" s="346"/>
      <c r="TS22" s="354" t="s">
        <v>36</v>
      </c>
      <c r="TT22" s="355"/>
      <c r="TW22" s="346"/>
      <c r="UA22" s="354" t="s">
        <v>36</v>
      </c>
      <c r="UB22" s="355"/>
      <c r="UE22" s="346"/>
      <c r="UI22" s="354" t="s">
        <v>36</v>
      </c>
      <c r="UJ22" s="355"/>
      <c r="UM22" s="346"/>
      <c r="UQ22" s="354" t="s">
        <v>36</v>
      </c>
      <c r="UR22" s="355"/>
      <c r="UU22" s="346"/>
      <c r="UY22" s="354" t="s">
        <v>36</v>
      </c>
      <c r="UZ22" s="355"/>
      <c r="VC22" s="346"/>
      <c r="VG22" s="354" t="s">
        <v>36</v>
      </c>
      <c r="VH22" s="355"/>
      <c r="VK22" s="346"/>
      <c r="VO22" s="354" t="s">
        <v>36</v>
      </c>
      <c r="VP22" s="355"/>
      <c r="VS22" s="346"/>
    </row>
    <row r="23" spans="3:591" x14ac:dyDescent="0.4">
      <c r="C23" s="1"/>
      <c r="D23" s="1"/>
      <c r="E23" s="1"/>
      <c r="F23" s="19" t="s">
        <v>62</v>
      </c>
      <c r="G23" s="20" t="s">
        <v>93</v>
      </c>
      <c r="H23" s="20" t="s">
        <v>124</v>
      </c>
      <c r="I23" s="1"/>
      <c r="J23" s="1"/>
      <c r="K23" s="1"/>
      <c r="L23" s="1"/>
      <c r="M23" s="1"/>
      <c r="O23" s="346"/>
      <c r="Q23" s="1"/>
      <c r="R23" s="1"/>
      <c r="S23" s="1"/>
      <c r="T23" s="19" t="s">
        <v>62</v>
      </c>
      <c r="U23" s="20" t="s">
        <v>93</v>
      </c>
      <c r="V23" s="20" t="s">
        <v>124</v>
      </c>
      <c r="W23" s="1"/>
      <c r="X23" s="1"/>
      <c r="Y23" s="1"/>
      <c r="Z23" s="1"/>
      <c r="AA23" s="1"/>
      <c r="AC23" s="346"/>
      <c r="AE23" s="30" t="str">
        <f ca="1"/>
        <v>BMW 420d Gran Coupé Front Bumper LINE 4</v>
      </c>
      <c r="AF23" s="31">
        <f t="shared" ca="1" si="0"/>
        <v>1</v>
      </c>
      <c r="AG23" s="1"/>
      <c r="AH23" s="366"/>
      <c r="AJ23" s="11"/>
      <c r="AK23" s="87" t="s">
        <v>284</v>
      </c>
      <c r="AL23" s="11"/>
      <c r="AM23" s="12"/>
      <c r="AN23" s="11"/>
      <c r="AO23" s="12"/>
      <c r="AP23" s="12"/>
      <c r="AQ23" s="12"/>
      <c r="AR23" s="12"/>
      <c r="AS23" s="12"/>
      <c r="AT23" s="12"/>
      <c r="AU23" s="12"/>
      <c r="AV23" s="12"/>
      <c r="AW23" s="12"/>
      <c r="AX23" s="12"/>
      <c r="AY23" s="12"/>
      <c r="AZ23" s="12"/>
      <c r="BA23" s="12"/>
      <c r="BB23" s="12"/>
      <c r="BC23" s="12"/>
      <c r="BE23" s="12"/>
      <c r="BF23" s="12"/>
      <c r="BG23" s="12"/>
      <c r="BH23" s="12"/>
      <c r="BI23" s="12"/>
      <c r="BJ23" s="12"/>
      <c r="BK23" s="366"/>
      <c r="BO23" s="33" t="s">
        <v>31</v>
      </c>
      <c r="BP23" s="85">
        <v>151</v>
      </c>
      <c r="BS23" s="346"/>
      <c r="BW23" s="33" t="s">
        <v>31</v>
      </c>
      <c r="BX23" s="85">
        <v>170</v>
      </c>
      <c r="CA23" s="346"/>
      <c r="CE23" s="33" t="s">
        <v>31</v>
      </c>
      <c r="CF23" s="85">
        <v>327</v>
      </c>
      <c r="CI23" s="346"/>
      <c r="CM23" s="33" t="s">
        <v>31</v>
      </c>
      <c r="CN23" s="85">
        <v>153</v>
      </c>
      <c r="CQ23" s="346"/>
      <c r="CU23" s="33" t="s">
        <v>31</v>
      </c>
      <c r="CV23" s="85">
        <v>251</v>
      </c>
      <c r="CY23" s="346"/>
      <c r="DC23" s="33" t="s">
        <v>31</v>
      </c>
      <c r="DD23" s="85">
        <v>62</v>
      </c>
      <c r="DG23" s="346"/>
      <c r="DK23" s="33" t="s">
        <v>31</v>
      </c>
      <c r="DL23" s="85">
        <v>266</v>
      </c>
      <c r="DO23" s="346"/>
      <c r="DS23" s="33" t="s">
        <v>31</v>
      </c>
      <c r="DT23" s="85">
        <v>129</v>
      </c>
      <c r="DW23" s="369"/>
      <c r="EA23" s="33" t="s">
        <v>31</v>
      </c>
      <c r="EB23" s="85">
        <v>280</v>
      </c>
      <c r="EE23" s="346"/>
      <c r="EI23" s="33" t="s">
        <v>31</v>
      </c>
      <c r="EJ23" s="85">
        <v>326</v>
      </c>
      <c r="EM23" s="346"/>
      <c r="EQ23" s="33" t="s">
        <v>31</v>
      </c>
      <c r="ER23" s="85">
        <v>270</v>
      </c>
      <c r="EU23" s="346"/>
      <c r="EY23" s="166" t="s">
        <v>31</v>
      </c>
      <c r="EZ23" s="167">
        <v>339</v>
      </c>
      <c r="FC23" s="369"/>
      <c r="FG23" s="33" t="s">
        <v>31</v>
      </c>
      <c r="FH23" s="85">
        <v>343</v>
      </c>
      <c r="FK23" s="346"/>
      <c r="FO23" s="33" t="s">
        <v>31</v>
      </c>
      <c r="FP23" s="85">
        <v>287</v>
      </c>
      <c r="FS23" s="346"/>
      <c r="FW23" s="33" t="s">
        <v>31</v>
      </c>
      <c r="FX23" s="85">
        <v>172</v>
      </c>
      <c r="GA23" s="346"/>
      <c r="GE23" s="33" t="s">
        <v>31</v>
      </c>
      <c r="GF23" s="85">
        <v>121</v>
      </c>
      <c r="GI23" s="346"/>
      <c r="GM23" s="33" t="s">
        <v>31</v>
      </c>
      <c r="GN23" s="85">
        <v>329</v>
      </c>
      <c r="GQ23" s="346"/>
      <c r="GU23" s="33" t="s">
        <v>31</v>
      </c>
      <c r="GV23" s="85">
        <v>84</v>
      </c>
      <c r="GY23" s="346"/>
      <c r="HC23" s="33" t="s">
        <v>31</v>
      </c>
      <c r="HD23" s="85">
        <v>50</v>
      </c>
      <c r="HG23" s="346"/>
      <c r="HK23" s="33" t="s">
        <v>31</v>
      </c>
      <c r="HL23" s="85">
        <v>266</v>
      </c>
      <c r="HO23" s="346"/>
      <c r="HS23" s="33" t="s">
        <v>31</v>
      </c>
      <c r="HT23" s="85">
        <v>86</v>
      </c>
      <c r="HW23" s="346"/>
      <c r="IA23" s="33" t="s">
        <v>31</v>
      </c>
      <c r="IB23" s="85">
        <v>171</v>
      </c>
      <c r="IE23" s="346"/>
      <c r="II23" s="33" t="s">
        <v>31</v>
      </c>
      <c r="IJ23" s="85">
        <v>121</v>
      </c>
      <c r="IM23" s="346"/>
      <c r="IQ23" s="33" t="s">
        <v>31</v>
      </c>
      <c r="IR23" s="85">
        <v>69</v>
      </c>
      <c r="IU23" s="346"/>
      <c r="IY23" s="33" t="s">
        <v>31</v>
      </c>
      <c r="IZ23" s="85">
        <v>324</v>
      </c>
      <c r="JC23" s="346"/>
      <c r="JG23" s="33" t="s">
        <v>31</v>
      </c>
      <c r="JH23" s="85">
        <v>185</v>
      </c>
      <c r="JK23" s="346"/>
      <c r="JO23" s="33" t="s">
        <v>31</v>
      </c>
      <c r="JP23" s="85">
        <v>121</v>
      </c>
      <c r="JS23" s="346"/>
      <c r="JW23" s="33" t="s">
        <v>31</v>
      </c>
      <c r="JX23" s="85">
        <v>76</v>
      </c>
      <c r="KA23" s="346"/>
      <c r="KE23" s="33" t="s">
        <v>31</v>
      </c>
      <c r="KF23" s="85">
        <v>263</v>
      </c>
      <c r="KI23" s="346"/>
      <c r="KM23" s="33" t="s">
        <v>31</v>
      </c>
      <c r="KN23" s="85">
        <v>229</v>
      </c>
      <c r="KQ23" s="346"/>
      <c r="KU23" s="33" t="s">
        <v>31</v>
      </c>
      <c r="KV23" s="85">
        <v>304</v>
      </c>
      <c r="KY23" s="346"/>
      <c r="LC23" s="33" t="s">
        <v>31</v>
      </c>
      <c r="LD23" s="85">
        <v>282</v>
      </c>
      <c r="LG23" s="346"/>
      <c r="LK23" s="33" t="s">
        <v>31</v>
      </c>
      <c r="LL23" s="85">
        <v>186</v>
      </c>
      <c r="LO23" s="346"/>
      <c r="LS23" s="33" t="s">
        <v>31</v>
      </c>
      <c r="LT23" s="85">
        <v>244</v>
      </c>
      <c r="LW23" s="346"/>
      <c r="MA23" s="33" t="s">
        <v>31</v>
      </c>
      <c r="MB23" s="85">
        <v>93</v>
      </c>
      <c r="ME23" s="346"/>
      <c r="MI23" s="33" t="s">
        <v>31</v>
      </c>
      <c r="MJ23" s="85">
        <v>286</v>
      </c>
      <c r="MM23" s="346"/>
      <c r="MQ23" s="33" t="s">
        <v>31</v>
      </c>
      <c r="MR23" s="85">
        <v>194</v>
      </c>
      <c r="MU23" s="346"/>
      <c r="MY23" s="33" t="s">
        <v>31</v>
      </c>
      <c r="MZ23" s="85">
        <v>161</v>
      </c>
      <c r="NC23" s="346"/>
      <c r="NG23" s="33" t="s">
        <v>31</v>
      </c>
      <c r="NH23" s="85">
        <v>229</v>
      </c>
      <c r="NK23" s="346"/>
      <c r="NO23" s="33" t="s">
        <v>31</v>
      </c>
      <c r="NP23" s="85">
        <v>96</v>
      </c>
      <c r="NS23" s="346"/>
      <c r="NW23" s="33" t="s">
        <v>31</v>
      </c>
      <c r="NX23" s="85">
        <v>265</v>
      </c>
      <c r="OA23" s="346"/>
      <c r="OE23" s="33" t="s">
        <v>31</v>
      </c>
      <c r="OF23" s="85">
        <v>259</v>
      </c>
      <c r="OI23" s="346"/>
      <c r="OM23" s="33" t="s">
        <v>31</v>
      </c>
      <c r="ON23" s="85">
        <v>72</v>
      </c>
      <c r="OQ23" s="346"/>
      <c r="OU23" s="33" t="s">
        <v>31</v>
      </c>
      <c r="OV23" s="85">
        <v>280</v>
      </c>
      <c r="OY23" s="346"/>
      <c r="PC23" s="33" t="s">
        <v>31</v>
      </c>
      <c r="PD23" s="85">
        <v>245</v>
      </c>
      <c r="PG23" s="346"/>
      <c r="PK23" s="33" t="s">
        <v>31</v>
      </c>
      <c r="PL23" s="85">
        <v>178</v>
      </c>
      <c r="PO23" s="346"/>
      <c r="PS23" s="33" t="s">
        <v>31</v>
      </c>
      <c r="PT23" s="85">
        <v>153</v>
      </c>
      <c r="PW23" s="346"/>
      <c r="QA23" s="33" t="s">
        <v>31</v>
      </c>
      <c r="QB23" s="85">
        <v>139</v>
      </c>
      <c r="QE23" s="346"/>
      <c r="QI23" s="33" t="s">
        <v>31</v>
      </c>
      <c r="QJ23" s="85">
        <v>272</v>
      </c>
      <c r="QM23" s="346"/>
      <c r="QQ23" s="33" t="s">
        <v>31</v>
      </c>
      <c r="QR23" s="85">
        <v>329</v>
      </c>
      <c r="QU23" s="346"/>
      <c r="QY23" s="33" t="s">
        <v>31</v>
      </c>
      <c r="QZ23" s="85">
        <v>69</v>
      </c>
      <c r="RC23" s="346"/>
      <c r="RG23" s="33" t="s">
        <v>31</v>
      </c>
      <c r="RH23" s="85">
        <v>94</v>
      </c>
      <c r="RK23" s="346"/>
      <c r="RO23" s="33" t="s">
        <v>31</v>
      </c>
      <c r="RP23" s="85">
        <v>283</v>
      </c>
      <c r="RS23" s="346"/>
      <c r="RW23" s="33" t="s">
        <v>31</v>
      </c>
      <c r="RX23" s="85">
        <v>68</v>
      </c>
      <c r="SA23" s="346"/>
      <c r="SE23" s="33" t="s">
        <v>31</v>
      </c>
      <c r="SF23" s="85">
        <v>310</v>
      </c>
      <c r="SI23" s="346"/>
      <c r="SM23" s="33" t="s">
        <v>31</v>
      </c>
      <c r="SN23" s="85">
        <v>289</v>
      </c>
      <c r="SQ23" s="346"/>
      <c r="SU23" s="33" t="s">
        <v>31</v>
      </c>
      <c r="SV23" s="85">
        <v>297</v>
      </c>
      <c r="SY23" s="346"/>
      <c r="TC23" s="33" t="s">
        <v>31</v>
      </c>
      <c r="TD23" s="85">
        <v>252</v>
      </c>
      <c r="TG23" s="346"/>
      <c r="TK23" s="33" t="s">
        <v>31</v>
      </c>
      <c r="TL23" s="85">
        <v>131</v>
      </c>
      <c r="TO23" s="346"/>
      <c r="TS23" s="33" t="s">
        <v>31</v>
      </c>
      <c r="TT23" s="85">
        <v>65</v>
      </c>
      <c r="TW23" s="346"/>
      <c r="UA23" s="33" t="s">
        <v>31</v>
      </c>
      <c r="UB23" s="85">
        <v>274</v>
      </c>
      <c r="UE23" s="346"/>
      <c r="UI23" s="33" t="s">
        <v>31</v>
      </c>
      <c r="UJ23" s="85">
        <v>212</v>
      </c>
      <c r="UM23" s="346"/>
      <c r="UQ23" s="33" t="s">
        <v>31</v>
      </c>
      <c r="UR23" s="85">
        <v>249</v>
      </c>
      <c r="UU23" s="346"/>
      <c r="UY23" s="33" t="s">
        <v>31</v>
      </c>
      <c r="UZ23" s="85">
        <v>341</v>
      </c>
      <c r="VC23" s="346"/>
      <c r="VG23" s="33" t="s">
        <v>31</v>
      </c>
      <c r="VH23" s="85">
        <v>265</v>
      </c>
      <c r="VK23" s="346"/>
      <c r="VO23" s="33" t="s">
        <v>31</v>
      </c>
      <c r="VP23" s="85">
        <v>126</v>
      </c>
      <c r="VS23" s="346"/>
    </row>
    <row r="24" spans="3:591" x14ac:dyDescent="0.4">
      <c r="C24" s="1"/>
      <c r="D24" s="1"/>
      <c r="E24" s="1"/>
      <c r="F24" s="19" t="s">
        <v>63</v>
      </c>
      <c r="G24" s="20" t="s">
        <v>94</v>
      </c>
      <c r="H24" s="20" t="s">
        <v>125</v>
      </c>
      <c r="I24" s="1"/>
      <c r="J24" s="1"/>
      <c r="K24" s="1"/>
      <c r="L24" s="1"/>
      <c r="M24" s="1"/>
      <c r="O24" s="346"/>
      <c r="Q24" s="1"/>
      <c r="R24" s="1"/>
      <c r="S24" s="1"/>
      <c r="T24" s="19" t="s">
        <v>63</v>
      </c>
      <c r="U24" s="20" t="s">
        <v>94</v>
      </c>
      <c r="V24" s="20" t="s">
        <v>125</v>
      </c>
      <c r="W24" s="1"/>
      <c r="X24" s="1"/>
      <c r="Y24" s="1"/>
      <c r="Z24" s="1"/>
      <c r="AA24" s="1"/>
      <c r="AC24" s="346"/>
      <c r="AE24" s="30" t="str">
        <f ca="1"/>
        <v>BMW M550i xDrive Front Bumper LINE 4</v>
      </c>
      <c r="AF24" s="31">
        <f t="shared" ca="1" si="0"/>
        <v>1</v>
      </c>
      <c r="AG24" s="1"/>
      <c r="AH24" s="366"/>
      <c r="AJ24" s="11"/>
      <c r="AK24" s="87" t="s">
        <v>285</v>
      </c>
      <c r="AL24" s="11"/>
      <c r="AM24" s="12"/>
      <c r="AN24" s="11"/>
      <c r="AO24" s="12"/>
      <c r="AP24" s="12"/>
      <c r="AQ24" s="12"/>
      <c r="AR24" s="12"/>
      <c r="AS24" s="12"/>
      <c r="AT24" s="12"/>
      <c r="AU24" s="12"/>
      <c r="AV24" s="12"/>
      <c r="AW24" s="12"/>
      <c r="AX24" s="12"/>
      <c r="AY24" s="12"/>
      <c r="AZ24" s="12"/>
      <c r="BA24" s="12"/>
      <c r="BB24" s="12"/>
      <c r="BC24" s="12"/>
      <c r="BE24" s="12"/>
      <c r="BF24" s="12"/>
      <c r="BG24" s="12"/>
      <c r="BH24" s="12"/>
      <c r="BI24" s="12"/>
      <c r="BJ24" s="12"/>
      <c r="BK24" s="366"/>
      <c r="BQ24"/>
      <c r="BS24" s="346"/>
      <c r="BY24"/>
      <c r="CA24" s="346"/>
      <c r="CG24"/>
      <c r="CI24" s="346"/>
      <c r="CM24" s="34"/>
      <c r="CN24"/>
      <c r="CO24"/>
      <c r="CQ24" s="346"/>
      <c r="CU24" s="34"/>
      <c r="CV24"/>
      <c r="CW24"/>
      <c r="CY24" s="346"/>
      <c r="DE24"/>
      <c r="DG24" s="346"/>
      <c r="DK24" s="34"/>
      <c r="DL24"/>
      <c r="DM24"/>
      <c r="DO24" s="346"/>
      <c r="DS24" s="34"/>
      <c r="DT24"/>
      <c r="DU24"/>
      <c r="DW24" s="369"/>
      <c r="EA24" s="34"/>
      <c r="EB24"/>
      <c r="EC24"/>
      <c r="EE24" s="346"/>
      <c r="EI24" s="34"/>
      <c r="EJ24"/>
      <c r="EK24"/>
      <c r="EM24" s="346"/>
      <c r="EQ24" s="34"/>
      <c r="ER24"/>
      <c r="ES24"/>
      <c r="EU24" s="346"/>
      <c r="EY24" s="168"/>
      <c r="EZ24" s="169"/>
      <c r="FA24"/>
      <c r="FC24" s="369"/>
      <c r="FG24" s="34"/>
      <c r="FH24"/>
      <c r="FI24"/>
      <c r="FK24" s="346"/>
      <c r="FO24" s="34"/>
      <c r="FP24"/>
      <c r="FQ24"/>
      <c r="FS24" s="346"/>
      <c r="FW24" s="34"/>
      <c r="FX24"/>
      <c r="FY24"/>
      <c r="GA24" s="346"/>
      <c r="GE24" s="34"/>
      <c r="GF24"/>
      <c r="GG24"/>
      <c r="GI24" s="346"/>
      <c r="GM24" s="34"/>
      <c r="GN24"/>
      <c r="GO24"/>
      <c r="GQ24" s="346"/>
      <c r="GU24" s="34"/>
      <c r="GV24"/>
      <c r="GW24"/>
      <c r="GY24" s="346"/>
      <c r="HC24" s="34"/>
      <c r="HD24"/>
      <c r="HE24"/>
      <c r="HG24" s="346"/>
      <c r="HK24" s="34"/>
      <c r="HL24"/>
      <c r="HM24"/>
      <c r="HO24" s="346"/>
      <c r="HS24" s="34"/>
      <c r="HT24"/>
      <c r="HU24"/>
      <c r="HW24" s="346"/>
      <c r="IA24" s="34"/>
      <c r="IB24"/>
      <c r="IC24"/>
      <c r="IE24" s="346"/>
      <c r="II24" s="34"/>
      <c r="IJ24"/>
      <c r="IK24"/>
      <c r="IM24" s="346"/>
      <c r="IQ24" s="34"/>
      <c r="IR24"/>
      <c r="IS24"/>
      <c r="IU24" s="346"/>
      <c r="IY24" s="34"/>
      <c r="IZ24"/>
      <c r="JA24"/>
      <c r="JC24" s="346"/>
      <c r="JG24" s="34"/>
      <c r="JH24"/>
      <c r="JI24"/>
      <c r="JK24" s="346"/>
      <c r="JO24" s="34"/>
      <c r="JP24"/>
      <c r="JQ24"/>
      <c r="JS24" s="346"/>
      <c r="JW24" s="34"/>
      <c r="JX24"/>
      <c r="JY24"/>
      <c r="KA24" s="346"/>
      <c r="KE24" s="34"/>
      <c r="KF24"/>
      <c r="KG24"/>
      <c r="KI24" s="346"/>
      <c r="KM24" s="34"/>
      <c r="KN24"/>
      <c r="KO24"/>
      <c r="KQ24" s="346"/>
      <c r="KU24" s="34"/>
      <c r="KV24"/>
      <c r="KW24"/>
      <c r="KY24" s="346"/>
      <c r="LC24" s="34"/>
      <c r="LD24"/>
      <c r="LE24"/>
      <c r="LG24" s="346"/>
      <c r="LK24" s="34"/>
      <c r="LL24"/>
      <c r="LM24"/>
      <c r="LO24" s="346"/>
      <c r="LS24" s="34"/>
      <c r="LT24"/>
      <c r="LU24"/>
      <c r="LW24" s="346"/>
      <c r="MA24" s="34"/>
      <c r="MB24"/>
      <c r="MC24"/>
      <c r="ME24" s="346"/>
      <c r="MI24" s="34"/>
      <c r="MJ24"/>
      <c r="MK24"/>
      <c r="MM24" s="346"/>
      <c r="MQ24" s="34"/>
      <c r="MR24"/>
      <c r="MS24"/>
      <c r="MU24" s="346"/>
      <c r="MY24" s="34"/>
      <c r="MZ24"/>
      <c r="NA24"/>
      <c r="NC24" s="346"/>
      <c r="NG24" s="34"/>
      <c r="NH24"/>
      <c r="NI24"/>
      <c r="NK24" s="346"/>
      <c r="NO24" s="34"/>
      <c r="NP24"/>
      <c r="NQ24"/>
      <c r="NS24" s="346"/>
      <c r="NW24" s="34"/>
      <c r="NX24"/>
      <c r="NY24"/>
      <c r="OA24" s="346"/>
      <c r="OE24" s="34"/>
      <c r="OF24"/>
      <c r="OG24"/>
      <c r="OI24" s="346"/>
      <c r="OM24" s="34"/>
      <c r="ON24"/>
      <c r="OO24"/>
      <c r="OQ24" s="346"/>
      <c r="OU24" s="34"/>
      <c r="OV24"/>
      <c r="OW24"/>
      <c r="OY24" s="346"/>
      <c r="PC24" s="34"/>
      <c r="PD24"/>
      <c r="PE24"/>
      <c r="PG24" s="346"/>
      <c r="PK24" s="34"/>
      <c r="PL24"/>
      <c r="PM24"/>
      <c r="PO24" s="346"/>
      <c r="PS24" s="34"/>
      <c r="PT24"/>
      <c r="PU24"/>
      <c r="PW24" s="346"/>
      <c r="QA24" s="34"/>
      <c r="QB24"/>
      <c r="QC24"/>
      <c r="QE24" s="346"/>
      <c r="QI24" s="34"/>
      <c r="QJ24"/>
      <c r="QK24"/>
      <c r="QM24" s="346"/>
      <c r="QQ24" s="34"/>
      <c r="QR24"/>
      <c r="QS24"/>
      <c r="QU24" s="346"/>
      <c r="QY24" s="34"/>
      <c r="QZ24"/>
      <c r="RA24"/>
      <c r="RC24" s="346"/>
      <c r="RG24" s="34"/>
      <c r="RH24"/>
      <c r="RI24"/>
      <c r="RK24" s="346"/>
      <c r="RO24" s="34"/>
      <c r="RP24"/>
      <c r="RQ24"/>
      <c r="RS24" s="346"/>
      <c r="RW24" s="34"/>
      <c r="RX24"/>
      <c r="RY24"/>
      <c r="SA24" s="346"/>
      <c r="SE24" s="34"/>
      <c r="SF24"/>
      <c r="SG24"/>
      <c r="SI24" s="346"/>
      <c r="SM24" s="34"/>
      <c r="SN24"/>
      <c r="SO24"/>
      <c r="SQ24" s="346"/>
      <c r="SU24" s="34"/>
      <c r="SV24"/>
      <c r="SW24"/>
      <c r="SY24" s="346"/>
      <c r="TC24" s="34"/>
      <c r="TD24"/>
      <c r="TE24"/>
      <c r="TG24" s="346"/>
      <c r="TK24" s="34"/>
      <c r="TL24"/>
      <c r="TM24"/>
      <c r="TO24" s="346"/>
      <c r="TS24" s="34"/>
      <c r="TT24"/>
      <c r="TU24"/>
      <c r="TW24" s="346"/>
      <c r="UA24" s="34"/>
      <c r="UB24"/>
      <c r="UC24"/>
      <c r="UE24" s="346"/>
      <c r="UI24" s="34"/>
      <c r="UJ24"/>
      <c r="UK24"/>
      <c r="UM24" s="346"/>
      <c r="UQ24" s="34"/>
      <c r="UR24"/>
      <c r="US24"/>
      <c r="UU24" s="346"/>
      <c r="UY24" s="34"/>
      <c r="UZ24"/>
      <c r="VA24"/>
      <c r="VC24" s="346"/>
      <c r="VG24" s="34"/>
      <c r="VH24"/>
      <c r="VI24"/>
      <c r="VK24" s="346"/>
      <c r="VO24" s="34"/>
      <c r="VP24"/>
      <c r="VQ24"/>
      <c r="VS24" s="346"/>
    </row>
    <row r="25" spans="3:591" x14ac:dyDescent="0.4">
      <c r="C25" s="1"/>
      <c r="D25" s="1"/>
      <c r="E25" s="1"/>
      <c r="F25" s="19" t="s">
        <v>64</v>
      </c>
      <c r="G25" s="20" t="s">
        <v>95</v>
      </c>
      <c r="H25" s="20" t="s">
        <v>126</v>
      </c>
      <c r="I25" s="1"/>
      <c r="J25" s="1"/>
      <c r="K25" s="1"/>
      <c r="L25" s="1"/>
      <c r="M25" s="1"/>
      <c r="O25" s="346"/>
      <c r="Q25" s="1"/>
      <c r="R25" s="1"/>
      <c r="S25" s="1"/>
      <c r="T25" s="19" t="s">
        <v>64</v>
      </c>
      <c r="U25" s="20" t="s">
        <v>95</v>
      </c>
      <c r="V25" s="20" t="s">
        <v>126</v>
      </c>
      <c r="W25" s="1"/>
      <c r="X25" s="1"/>
      <c r="Y25" s="1"/>
      <c r="Z25" s="1"/>
      <c r="AA25" s="1"/>
      <c r="AC25" s="346"/>
      <c r="AE25" s="30" t="str">
        <f ca="1"/>
        <v>BMW X7 B-Pillar LH LINE 3</v>
      </c>
      <c r="AF25" s="31">
        <f t="shared" ca="1" si="0"/>
        <v>1</v>
      </c>
      <c r="AG25" s="1"/>
      <c r="AH25" s="366"/>
      <c r="AJ25" s="11"/>
      <c r="AK25" s="87" t="s">
        <v>286</v>
      </c>
      <c r="AL25" s="11"/>
      <c r="AM25" s="12"/>
      <c r="AN25" s="12"/>
      <c r="AO25" s="12"/>
      <c r="AP25" s="12"/>
      <c r="AQ25" s="12"/>
      <c r="AR25" s="12"/>
      <c r="AS25" s="12"/>
      <c r="AT25" s="12"/>
      <c r="AU25" s="12"/>
      <c r="AV25" s="12"/>
      <c r="AW25" s="12"/>
      <c r="AX25" s="12"/>
      <c r="AY25" s="12"/>
      <c r="AZ25" s="12"/>
      <c r="BA25" s="12"/>
      <c r="BB25" s="12"/>
      <c r="BC25" s="12"/>
      <c r="BE25" s="12"/>
      <c r="BF25" s="11"/>
      <c r="BG25" s="11"/>
      <c r="BH25" s="11"/>
      <c r="BI25" s="11"/>
      <c r="BJ25" s="11"/>
      <c r="BK25" s="366"/>
      <c r="BS25" s="346"/>
      <c r="CA25" s="346"/>
      <c r="CI25" s="346"/>
      <c r="CQ25" s="346"/>
      <c r="CY25" s="346"/>
      <c r="DG25" s="346"/>
      <c r="DO25" s="346"/>
      <c r="DW25" s="369"/>
      <c r="EE25" s="346"/>
      <c r="EM25" s="346"/>
      <c r="EU25" s="346"/>
      <c r="FC25" s="369"/>
      <c r="FK25" s="346"/>
      <c r="FS25" s="346"/>
      <c r="GA25" s="346"/>
      <c r="GI25" s="346"/>
      <c r="GQ25" s="346"/>
      <c r="GY25" s="346"/>
      <c r="HG25" s="346"/>
      <c r="HO25" s="346"/>
      <c r="HW25" s="346"/>
      <c r="IE25" s="346"/>
      <c r="IM25" s="346"/>
      <c r="IU25" s="346"/>
      <c r="JC25" s="346"/>
      <c r="JK25" s="346"/>
      <c r="JS25" s="346"/>
      <c r="KA25" s="346"/>
      <c r="KI25" s="346"/>
      <c r="KQ25" s="346"/>
      <c r="KY25" s="346"/>
      <c r="LG25" s="346"/>
      <c r="LO25" s="346"/>
      <c r="LW25" s="346"/>
      <c r="ME25" s="346"/>
      <c r="MM25" s="346"/>
      <c r="MU25" s="346"/>
      <c r="NC25" s="346"/>
      <c r="NK25" s="346"/>
      <c r="NS25" s="346"/>
      <c r="OA25" s="346"/>
      <c r="OI25" s="346"/>
      <c r="OQ25" s="346"/>
      <c r="OY25" s="346"/>
      <c r="PG25" s="346"/>
      <c r="PO25" s="346"/>
      <c r="PW25" s="346"/>
      <c r="QE25" s="346"/>
      <c r="QM25" s="346"/>
      <c r="QU25" s="346"/>
      <c r="RC25" s="346"/>
      <c r="RK25" s="346"/>
      <c r="RS25" s="346"/>
      <c r="SA25" s="346"/>
      <c r="SI25" s="346"/>
      <c r="SQ25" s="346"/>
      <c r="SY25" s="346"/>
      <c r="TG25" s="346"/>
      <c r="TO25" s="346"/>
      <c r="TW25" s="346"/>
      <c r="UE25" s="346"/>
      <c r="UM25" s="346"/>
      <c r="UU25" s="346"/>
      <c r="VC25" s="346"/>
      <c r="VK25" s="346"/>
      <c r="VS25" s="346"/>
    </row>
    <row r="26" spans="3:591" x14ac:dyDescent="0.4">
      <c r="C26" s="1"/>
      <c r="D26" s="1"/>
      <c r="E26" s="1"/>
      <c r="F26" s="19" t="s">
        <v>65</v>
      </c>
      <c r="G26" s="20" t="s">
        <v>96</v>
      </c>
      <c r="H26" s="20" t="s">
        <v>127</v>
      </c>
      <c r="I26" s="1"/>
      <c r="J26" s="1"/>
      <c r="K26" s="1"/>
      <c r="L26" s="1"/>
      <c r="M26" s="1"/>
      <c r="O26" s="346"/>
      <c r="Q26" s="1"/>
      <c r="R26" s="1"/>
      <c r="S26" s="1"/>
      <c r="T26" s="19" t="s">
        <v>65</v>
      </c>
      <c r="U26" s="20" t="s">
        <v>96</v>
      </c>
      <c r="V26" s="20" t="s">
        <v>127</v>
      </c>
      <c r="W26" s="1"/>
      <c r="X26" s="1"/>
      <c r="Y26" s="1"/>
      <c r="Z26" s="1"/>
      <c r="AA26" s="1"/>
      <c r="AC26" s="346"/>
      <c r="AE26" s="30" t="str">
        <f ca="1"/>
        <v>BMW X7 B-Pillar RH LINE 3</v>
      </c>
      <c r="AF26" s="31">
        <f t="shared" ca="1" si="0"/>
        <v>1</v>
      </c>
      <c r="AG26" s="1"/>
      <c r="AH26" s="366"/>
      <c r="AJ26" s="11"/>
      <c r="AK26" s="87" t="s">
        <v>287</v>
      </c>
      <c r="AL26" s="11"/>
      <c r="AM26" s="12"/>
      <c r="AN26" s="11"/>
      <c r="AO26" s="12"/>
      <c r="AP26" s="12"/>
      <c r="AQ26" s="12"/>
      <c r="AR26" s="12"/>
      <c r="AS26" s="12"/>
      <c r="AT26" s="12"/>
      <c r="AU26" s="12"/>
      <c r="AV26" s="12"/>
      <c r="AW26" s="12"/>
      <c r="AX26" s="12"/>
      <c r="AY26" s="12"/>
      <c r="AZ26" s="12"/>
      <c r="BA26" s="12"/>
      <c r="BB26" s="12"/>
      <c r="BC26" s="12"/>
      <c r="BE26" s="12"/>
      <c r="BF26" s="11"/>
      <c r="BG26" s="11"/>
      <c r="BH26" s="11"/>
      <c r="BI26" s="11"/>
      <c r="BJ26" s="11"/>
      <c r="BK26" s="366"/>
      <c r="BO26" s="353" t="str">
        <f>SUBSTITUTE(LOWER(BS$1)," ","_") &amp; "_"</f>
        <v>mercedez_gle_53_rear_axle_line_2_</v>
      </c>
      <c r="BP26" s="353"/>
      <c r="BS26" s="346"/>
      <c r="BW26" s="353" t="str">
        <f>SUBSTITUTE(LOWER(CA$1)," ","_") &amp; "_"</f>
        <v>mercedez_gle_580_rear_axle_line_2_</v>
      </c>
      <c r="BX26" s="353"/>
      <c r="CA26" s="346"/>
      <c r="CE26" s="353" t="str">
        <f>SUBSTITUTE(LOWER(CI$1)," ","_") &amp; "_"</f>
        <v>mercedez_le_300_coupé_rear_axle_line_2_</v>
      </c>
      <c r="CF26" s="353"/>
      <c r="CI26" s="346"/>
      <c r="CM26" s="353" t="str">
        <f>SUBSTITUTE(LOWER(CQ$1)," ","_") &amp; "_"</f>
        <v>mercedez_gle_53_front_axle_line_1_</v>
      </c>
      <c r="CN26" s="353"/>
      <c r="CQ26" s="346"/>
      <c r="CU26" s="353" t="str">
        <f>SUBSTITUTE(LOWER(CY$1)," ","_") &amp; "_"</f>
        <v>mercedez_gle_580_front_axle_line_1_</v>
      </c>
      <c r="CV26" s="353"/>
      <c r="CY26" s="346"/>
      <c r="DC26" s="353" t="str">
        <f>SUBSTITUTE(LOWER(DG$1)," ","_") &amp; "_"</f>
        <v>mercedez_le_300_coupé_front_axle_line_1_</v>
      </c>
      <c r="DD26" s="353"/>
      <c r="DG26" s="346"/>
      <c r="DK26" s="353" t="str">
        <f>SUBSTITUTE(LOWER(DO$1)," ","_") &amp; "_"</f>
        <v>mercedez_gle_53_rear_bumper_line_1_</v>
      </c>
      <c r="DL26" s="353"/>
      <c r="DO26" s="346"/>
      <c r="DS26" s="353" t="str">
        <f>SUBSTITUTE(LOWER(DW$1)," ","_") &amp; "_"</f>
        <v>mercedez_gle_580_rear_bumper_line_1_</v>
      </c>
      <c r="DT26" s="353"/>
      <c r="DW26" s="369"/>
      <c r="EA26" s="353" t="str">
        <f>SUBSTITUTE(LOWER(EE$1)," ","_") &amp; "_"</f>
        <v>mercedez_le_300_coupé_rear_bumper_line_3_</v>
      </c>
      <c r="EB26" s="353"/>
      <c r="EE26" s="346"/>
      <c r="EI26" s="353" t="str">
        <f>SUBSTITUTE(LOWER(EM$1)," ","_") &amp; "_"</f>
        <v>bmw_x7_rear_bumper_line_1_</v>
      </c>
      <c r="EJ26" s="353"/>
      <c r="EM26" s="346"/>
      <c r="EQ26" s="353" t="str">
        <f>SUBSTITUTE(LOWER(EU$1)," ","_") &amp; "_"</f>
        <v>bmw_420d_gran_coupé_rear_bumper_line_3_</v>
      </c>
      <c r="ER26" s="353"/>
      <c r="EU26" s="346"/>
      <c r="EY26" s="353" t="str">
        <f>SUBSTITUTE(LOWER(FC$1)," ","_") &amp; "_"</f>
        <v>bmw_m550i_xdrive_rear_bumper_line_3_</v>
      </c>
      <c r="EZ26" s="353"/>
      <c r="FC26" s="369"/>
      <c r="FG26" s="353" t="str">
        <f>SUBSTITUTE(LOWER(FK$1)," ","_") &amp; "_"</f>
        <v>mercedez_gle_53_front_bumper_line_2_</v>
      </c>
      <c r="FH26" s="353"/>
      <c r="FK26" s="346"/>
      <c r="FO26" s="353" t="str">
        <f>SUBSTITUTE(LOWER(FS$1)," ","_") &amp; "_"</f>
        <v>mercedez_gle_580_front_bumper_line_2_</v>
      </c>
      <c r="FP26" s="353"/>
      <c r="FS26" s="346"/>
      <c r="FW26" s="353" t="str">
        <f>SUBSTITUTE(LOWER(GA$1)," ","_") &amp; "_"</f>
        <v>mercedez_le_300_coupé_front_bumper_line_4_</v>
      </c>
      <c r="FX26" s="353"/>
      <c r="GA26" s="346"/>
      <c r="GE26" s="353" t="str">
        <f>SUBSTITUTE(LOWER(GI$1)," ","_") &amp; "_"</f>
        <v>bmw_x7_front_bumper_line_2_</v>
      </c>
      <c r="GF26" s="353"/>
      <c r="GI26" s="346"/>
      <c r="GM26" s="353" t="str">
        <f>SUBSTITUTE(LOWER(GQ$1)," ","_") &amp; "_"</f>
        <v>bmw_420d_gran_coupé_front_bumper_line_4_</v>
      </c>
      <c r="GN26" s="353"/>
      <c r="GQ26" s="346"/>
      <c r="GU26" s="353" t="str">
        <f>SUBSTITUTE(LOWER(GY$1)," ","_") &amp; "_"</f>
        <v>bmw_m550i_xdrive_front_bumper_line_4_</v>
      </c>
      <c r="GV26" s="353"/>
      <c r="GY26" s="346"/>
      <c r="HC26" s="353" t="str">
        <f>SUBSTITUTE(LOWER(HG$1)," ","_") &amp; "_"</f>
        <v>bmw_x7_b-pillar_lh_line_3_</v>
      </c>
      <c r="HD26" s="353"/>
      <c r="HG26" s="346"/>
      <c r="HK26" s="353" t="str">
        <f>SUBSTITUTE(LOWER(HO$1)," ","_") &amp; "_"</f>
        <v>bmw_x7_b-pillar_rh_line_3_</v>
      </c>
      <c r="HL26" s="353"/>
      <c r="HO26" s="346"/>
      <c r="HS26" s="353" t="str">
        <f>SUBSTITUTE(LOWER(HW$1)," ","_") &amp; "_"</f>
        <v>bmw_420d_gran_coupé_b-pillar_lh_line_3_</v>
      </c>
      <c r="HT26" s="353"/>
      <c r="HW26" s="346"/>
      <c r="IA26" s="353" t="str">
        <f>SUBSTITUTE(LOWER(IE$1)," ","_") &amp; "_"</f>
        <v>bmw_420d_gran_coupé_b-pillar_rh_line_3_</v>
      </c>
      <c r="IB26" s="353"/>
      <c r="IE26" s="346"/>
      <c r="II26" s="353" t="str">
        <f>SUBSTITUTE(LOWER(IM$1)," ","_") &amp; "_"</f>
        <v>bmw_m550i_xdrive_b-pillar_lh_line_3_</v>
      </c>
      <c r="IJ26" s="353"/>
      <c r="IM26" s="346"/>
      <c r="IQ26" s="353" t="str">
        <f>SUBSTITUTE(LOWER(IU$1)," ","_") &amp; "_"</f>
        <v>bmw_m550i_xdrive_b-pillar_rh_line_3_</v>
      </c>
      <c r="IR26" s="353"/>
      <c r="IU26" s="346"/>
      <c r="IY26" s="353" t="str">
        <f>SUBSTITUTE(LOWER(JC$1)," ","_") &amp; "_"</f>
        <v>bmw_x7_a-pillar_lh_line_2_</v>
      </c>
      <c r="IZ26" s="353"/>
      <c r="JC26" s="346"/>
      <c r="JG26" s="353" t="str">
        <f>SUBSTITUTE(LOWER(JK$1)," ","_") &amp; "_"</f>
        <v>bmw_x7_a-pillar_rh_line_2_</v>
      </c>
      <c r="JH26" s="353"/>
      <c r="JK26" s="346"/>
      <c r="JO26" s="353" t="str">
        <f>SUBSTITUTE(LOWER(JS$1)," ","_") &amp; "_"</f>
        <v>bmw_420d_gran_coupé_a-pillar_lh_line_2_</v>
      </c>
      <c r="JP26" s="353"/>
      <c r="JS26" s="346"/>
      <c r="JW26" s="353" t="str">
        <f>SUBSTITUTE(LOWER(KA$1)," ","_") &amp; "_"</f>
        <v>bmw_420d_gran_coupé_a-pillar_rh_line_2_</v>
      </c>
      <c r="JX26" s="353"/>
      <c r="KA26" s="346"/>
      <c r="KE26" s="353" t="str">
        <f>SUBSTITUTE(LOWER(KI$1)," ","_") &amp; "_"</f>
        <v>bmw_m550i_xdrive_a-pillar_lh_line_2_</v>
      </c>
      <c r="KF26" s="353"/>
      <c r="KI26" s="346"/>
      <c r="KM26" s="353" t="str">
        <f>SUBSTITUTE(LOWER(KQ$1)," ","_") &amp; "_"</f>
        <v>bmw_m550i_xdrive_a-pillar_rh_line_2_</v>
      </c>
      <c r="KN26" s="353"/>
      <c r="KQ26" s="346"/>
      <c r="KU26" s="353" t="str">
        <f>SUBSTITUTE(LOWER(KY$1)," ","_") &amp; "_"</f>
        <v>mercedez_gle_53_c-pillar_lh_line_2_</v>
      </c>
      <c r="KV26" s="353"/>
      <c r="KY26" s="346"/>
      <c r="LC26" s="353" t="str">
        <f>SUBSTITUTE(LOWER(LG$1)," ","_") &amp; "_"</f>
        <v>mercedez_gle_53_c-pillar_rh_line_1_</v>
      </c>
      <c r="LD26" s="353"/>
      <c r="LG26" s="346"/>
      <c r="LK26" s="353" t="str">
        <f>SUBSTITUTE(LOWER(LO$1)," ","_") &amp; "_"</f>
        <v>mercedez_gle_580_c-pillar_lh_line_2_</v>
      </c>
      <c r="LL26" s="353"/>
      <c r="LO26" s="346"/>
      <c r="LS26" s="353" t="str">
        <f>SUBSTITUTE(LOWER(LW$1)," ","_") &amp; "_"</f>
        <v>mercedez_gle_580_c-pillar_rh_line_1_</v>
      </c>
      <c r="LT26" s="353"/>
      <c r="LW26" s="346"/>
      <c r="MA26" s="353" t="str">
        <f>SUBSTITUTE(LOWER(ME$1)," ","_") &amp; "_"</f>
        <v>mercedez_le_300_coupé_c-pillar_lh_line_2_</v>
      </c>
      <c r="MB26" s="353"/>
      <c r="ME26" s="346"/>
      <c r="MI26" s="353" t="str">
        <f>SUBSTITUTE(LOWER(MM$1)," ","_") &amp; "_"</f>
        <v>mercedez_le_300_coupé_c-pillar_rh_line_1_</v>
      </c>
      <c r="MJ26" s="353"/>
      <c r="MM26" s="346"/>
      <c r="MQ26" s="353" t="str">
        <f>SUBSTITUTE(LOWER(MU$1)," ","_") &amp; "_"</f>
        <v>bmw_x7_c-pillar_lh_line_2_</v>
      </c>
      <c r="MR26" s="353"/>
      <c r="MU26" s="346"/>
      <c r="MY26" s="353" t="str">
        <f>SUBSTITUTE(LOWER(NC$1)," ","_") &amp; "_"</f>
        <v>bmw_x7_c-pillar_rh_line_1_</v>
      </c>
      <c r="MZ26" s="353"/>
      <c r="NC26" s="346"/>
      <c r="NG26" s="353" t="str">
        <f>SUBSTITUTE(LOWER(NK$1)," ","_") &amp; "_"</f>
        <v>bmw_420d_gran_coupé_c-pillar_lh_line_2_</v>
      </c>
      <c r="NH26" s="353"/>
      <c r="NK26" s="346"/>
      <c r="NO26" s="353" t="str">
        <f>SUBSTITUTE(LOWER(NS$1)," ","_") &amp; "_"</f>
        <v>bmw_420d_gran_coupé_c-pillar_rh_line_1_</v>
      </c>
      <c r="NP26" s="353"/>
      <c r="NS26" s="346"/>
      <c r="NW26" s="353" t="str">
        <f>SUBSTITUTE(LOWER(OA$1)," ","_") &amp; "_"</f>
        <v>bmw_m550i_xdrive_c-pillar_lh_line_2_</v>
      </c>
      <c r="NX26" s="353"/>
      <c r="OA26" s="346"/>
      <c r="OE26" s="353" t="str">
        <f>SUBSTITUTE(LOWER(OI$1)," ","_") &amp; "_"</f>
        <v>bmw_m550i_xdrive_c-pillar_rh_line_1_</v>
      </c>
      <c r="OF26" s="353"/>
      <c r="OI26" s="346"/>
      <c r="OM26" s="353" t="str">
        <f>SUBSTITUTE(LOWER(OQ$1)," ","_") &amp; "_"</f>
        <v>mercedez_gle_53_ip_lhd_line_1_</v>
      </c>
      <c r="ON26" s="353"/>
      <c r="OQ26" s="346"/>
      <c r="OU26" s="353" t="str">
        <f>SUBSTITUTE(LOWER(OY$1)," ","_") &amp; "_"</f>
        <v>mercedez_gle_53_ip_rhd_line_2_</v>
      </c>
      <c r="OV26" s="353"/>
      <c r="OY26" s="346"/>
      <c r="PC26" s="353" t="str">
        <f>SUBSTITUTE(LOWER(PG$1)," ","_") &amp; "_"</f>
        <v>mercedez_gle_580_ip_lhd_line_1_</v>
      </c>
      <c r="PD26" s="353"/>
      <c r="PG26" s="346"/>
      <c r="PK26" s="353" t="str">
        <f>SUBSTITUTE(LOWER(PO$1)," ","_") &amp; "_"</f>
        <v>mercedez_gle_580_ip_rhd_line_2_</v>
      </c>
      <c r="PL26" s="353"/>
      <c r="PO26" s="346"/>
      <c r="PS26" s="353" t="str">
        <f>SUBSTITUTE(LOWER(PW$1)," ","_") &amp; "_"</f>
        <v>mercedez_le_300_coupé_ip_lhd_line_1_</v>
      </c>
      <c r="PT26" s="353"/>
      <c r="PW26" s="346"/>
      <c r="QA26" s="353" t="str">
        <f>SUBSTITUTE(LOWER(QE$1)," ","_") &amp; "_"</f>
        <v>mercedez_le_300_coupé_ip_rhd_line_2_</v>
      </c>
      <c r="QB26" s="353"/>
      <c r="QE26" s="346"/>
      <c r="QI26" s="353" t="str">
        <f>SUBSTITUTE(LOWER(QM$1)," ","_") &amp; "_"</f>
        <v>bmw_x7_ip_lhd_line_2_</v>
      </c>
      <c r="QJ26" s="353"/>
      <c r="QM26" s="346"/>
      <c r="QQ26" s="353" t="str">
        <f>SUBSTITUTE(LOWER(QU$1)," ","_") &amp; "_"</f>
        <v>bmw_x7_ip_rhd_line_1_</v>
      </c>
      <c r="QR26" s="353"/>
      <c r="QU26" s="346"/>
      <c r="QY26" s="353" t="str">
        <f>SUBSTITUTE(LOWER(RC$1)," ","_") &amp; "_"</f>
        <v>bmw_420d_gran_coupé_ip_lhd_line_2_</v>
      </c>
      <c r="QZ26" s="353"/>
      <c r="RC26" s="346"/>
      <c r="RG26" s="353" t="str">
        <f>SUBSTITUTE(LOWER(RK$1)," ","_") &amp; "_"</f>
        <v>bmw_420d_gran_coupé_ip_rhd_line_1_</v>
      </c>
      <c r="RH26" s="353"/>
      <c r="RK26" s="346"/>
      <c r="RO26" s="353" t="str">
        <f>SUBSTITUTE(LOWER(RS$1)," ","_") &amp; "_"</f>
        <v>bmw_m550i_xdrive_ip_lhd_line_2_</v>
      </c>
      <c r="RP26" s="353"/>
      <c r="RS26" s="346"/>
      <c r="RW26" s="353" t="str">
        <f>SUBSTITUTE(LOWER(SA$1)," ","_") &amp; "_"</f>
        <v>bmw_m550i_xdrive_ip_rhd_line_1_</v>
      </c>
      <c r="RX26" s="353"/>
      <c r="SA26" s="346"/>
      <c r="SE26" s="353" t="str">
        <f>SUBSTITUTE(LOWER(SI$1)," ","_") &amp; "_"</f>
        <v>bmw_x7_a-pillar_lh_line_4_</v>
      </c>
      <c r="SF26" s="353"/>
      <c r="SI26" s="346"/>
      <c r="SM26" s="353" t="str">
        <f>SUBSTITUTE(LOWER(SQ$1)," ","_") &amp; "_"</f>
        <v>bmw_x7_a-pillar_rh_line_4_</v>
      </c>
      <c r="SN26" s="353"/>
      <c r="SQ26" s="346"/>
      <c r="SU26" s="353" t="str">
        <f>SUBSTITUTE(LOWER(SY$1)," ","_") &amp; "_"</f>
        <v>bmw_420d_gran_coupé_a-pillar_lh_line_4_</v>
      </c>
      <c r="SV26" s="353"/>
      <c r="SY26" s="346"/>
      <c r="TC26" s="353" t="str">
        <f>SUBSTITUTE(LOWER(TG$1)," ","_") &amp; "_"</f>
        <v>bmw_420d_gran_coupé_a-pillar_rh_line_4_</v>
      </c>
      <c r="TD26" s="353"/>
      <c r="TG26" s="346"/>
      <c r="TK26" s="353" t="str">
        <f>SUBSTITUTE(LOWER(TO$1)," ","_") &amp; "_"</f>
        <v>bmw_m550i_xdrive_a-pillar_lh_line_4_</v>
      </c>
      <c r="TL26" s="353"/>
      <c r="TO26" s="346"/>
      <c r="TS26" s="353" t="str">
        <f>SUBSTITUTE(LOWER(TW$1)," ","_") &amp; "_"</f>
        <v>bmw_m550i_xdrive_a-pillar_rh_line_4_</v>
      </c>
      <c r="TT26" s="353"/>
      <c r="TW26" s="346"/>
      <c r="UA26" s="353" t="str">
        <f>SUBSTITUTE(LOWER(UE$1)," ","_") &amp; "_"</f>
        <v>mercedez_gle_53_c-pillar_lh_line_4_</v>
      </c>
      <c r="UB26" s="353"/>
      <c r="UE26" s="346"/>
      <c r="UI26" s="353" t="str">
        <f>SUBSTITUTE(LOWER(UM$1)," ","_") &amp; "_"</f>
        <v>mercedez_gle_53_c-pillar_rh_line_3_</v>
      </c>
      <c r="UJ26" s="353"/>
      <c r="UM26" s="346"/>
      <c r="UQ26" s="353" t="str">
        <f>SUBSTITUTE(LOWER(UU$1)," ","_") &amp; "_"</f>
        <v>mercedez_gle_580_c-pillar_lh_line_4_</v>
      </c>
      <c r="UR26" s="353"/>
      <c r="UU26" s="346"/>
      <c r="UY26" s="353" t="str">
        <f>SUBSTITUTE(LOWER(VC$1)," ","_") &amp; "_"</f>
        <v>mercedez_gle_580_c-pillar_rh_line_3_</v>
      </c>
      <c r="UZ26" s="353"/>
      <c r="VC26" s="346"/>
      <c r="VG26" s="353" t="str">
        <f>SUBSTITUTE(LOWER(VK$1)," ","_") &amp; "_"</f>
        <v>mercedez_le_300_coupé_c-pillar_lh_line_4_</v>
      </c>
      <c r="VH26" s="353"/>
      <c r="VK26" s="346"/>
      <c r="VO26" s="353" t="str">
        <f>SUBSTITUTE(LOWER(VS$1)," ","_") &amp; "_"</f>
        <v>mercedez_le_300_coupé_c-pillar_rh_line_3_</v>
      </c>
      <c r="VP26" s="353"/>
      <c r="VS26" s="346"/>
    </row>
    <row r="27" spans="3:591" x14ac:dyDescent="0.4">
      <c r="C27" s="1"/>
      <c r="D27" s="1"/>
      <c r="E27" s="1"/>
      <c r="F27" s="19" t="s">
        <v>66</v>
      </c>
      <c r="G27" s="20" t="s">
        <v>97</v>
      </c>
      <c r="H27" s="20" t="s">
        <v>489</v>
      </c>
      <c r="I27" s="1"/>
      <c r="J27" s="1"/>
      <c r="K27" s="1"/>
      <c r="L27" s="1"/>
      <c r="M27" s="1"/>
      <c r="O27" s="346"/>
      <c r="Q27" s="1"/>
      <c r="R27" s="1"/>
      <c r="S27" s="1"/>
      <c r="T27" s="19" t="s">
        <v>66</v>
      </c>
      <c r="U27" s="20" t="s">
        <v>97</v>
      </c>
      <c r="V27" s="20" t="s">
        <v>489</v>
      </c>
      <c r="W27" s="1"/>
      <c r="X27" s="1"/>
      <c r="Y27" s="1"/>
      <c r="Z27" s="1"/>
      <c r="AA27" s="1"/>
      <c r="AC27" s="346"/>
      <c r="AE27" s="30" t="str">
        <f ca="1"/>
        <v>BMW 420d Gran Coupé B-Pillar LH LINE 3</v>
      </c>
      <c r="AF27" s="31">
        <f t="shared" ca="1" si="0"/>
        <v>1</v>
      </c>
      <c r="AG27" s="1"/>
      <c r="AH27" s="366"/>
      <c r="AJ27" s="11"/>
      <c r="AK27" s="87" t="s">
        <v>288</v>
      </c>
      <c r="AL27" s="11"/>
      <c r="AM27" s="12"/>
      <c r="AN27" s="11"/>
      <c r="AO27" s="12"/>
      <c r="AP27" s="12"/>
      <c r="AQ27" s="12"/>
      <c r="AR27" s="12"/>
      <c r="AS27" s="12"/>
      <c r="AT27" s="12"/>
      <c r="AU27" s="11"/>
      <c r="AV27" s="11"/>
      <c r="AW27" s="11"/>
      <c r="AX27" s="12"/>
      <c r="AY27" s="12"/>
      <c r="AZ27" s="12"/>
      <c r="BA27" s="12"/>
      <c r="BB27" s="12"/>
      <c r="BC27" s="12"/>
      <c r="BE27" s="12"/>
      <c r="BF27" s="11"/>
      <c r="BG27" s="11"/>
      <c r="BH27" s="11"/>
      <c r="BI27" s="11"/>
      <c r="BJ27" s="11"/>
      <c r="BK27" s="366"/>
      <c r="BO27" s="354" t="s">
        <v>39</v>
      </c>
      <c r="BP27" s="355"/>
      <c r="BS27" s="346"/>
      <c r="BW27" s="354" t="s">
        <v>39</v>
      </c>
      <c r="BX27" s="355"/>
      <c r="CA27" s="346"/>
      <c r="CE27" s="354" t="s">
        <v>38</v>
      </c>
      <c r="CF27" s="355"/>
      <c r="CI27" s="346"/>
      <c r="CM27" s="354" t="s">
        <v>39</v>
      </c>
      <c r="CN27" s="355"/>
      <c r="CQ27" s="346"/>
      <c r="CU27" s="354" t="s">
        <v>39</v>
      </c>
      <c r="CV27" s="355"/>
      <c r="CY27" s="346"/>
      <c r="DC27" s="354" t="s">
        <v>39</v>
      </c>
      <c r="DD27" s="355"/>
      <c r="DG27" s="346"/>
      <c r="DK27" s="354" t="s">
        <v>39</v>
      </c>
      <c r="DL27" s="355"/>
      <c r="DO27" s="346"/>
      <c r="DS27" s="354" t="s">
        <v>39</v>
      </c>
      <c r="DT27" s="355"/>
      <c r="DW27" s="369"/>
      <c r="EA27" s="354" t="s">
        <v>39</v>
      </c>
      <c r="EB27" s="355"/>
      <c r="EE27" s="346"/>
      <c r="EI27" s="354" t="s">
        <v>39</v>
      </c>
      <c r="EJ27" s="355"/>
      <c r="EM27" s="346"/>
      <c r="EQ27" s="354" t="s">
        <v>39</v>
      </c>
      <c r="ER27" s="355"/>
      <c r="EU27" s="346"/>
      <c r="EY27" s="354" t="s">
        <v>39</v>
      </c>
      <c r="EZ27" s="355"/>
      <c r="FC27" s="369"/>
      <c r="FG27" s="354" t="s">
        <v>39</v>
      </c>
      <c r="FH27" s="355"/>
      <c r="FK27" s="346"/>
      <c r="FO27" s="354" t="s">
        <v>39</v>
      </c>
      <c r="FP27" s="355"/>
      <c r="FS27" s="346"/>
      <c r="FW27" s="354" t="s">
        <v>39</v>
      </c>
      <c r="FX27" s="355"/>
      <c r="GA27" s="346"/>
      <c r="GE27" s="354" t="s">
        <v>39</v>
      </c>
      <c r="GF27" s="355"/>
      <c r="GI27" s="346"/>
      <c r="GM27" s="354" t="s">
        <v>39</v>
      </c>
      <c r="GN27" s="355"/>
      <c r="GQ27" s="346"/>
      <c r="GU27" s="354" t="s">
        <v>39</v>
      </c>
      <c r="GV27" s="355"/>
      <c r="GY27" s="346"/>
      <c r="HC27" s="354" t="s">
        <v>39</v>
      </c>
      <c r="HD27" s="355"/>
      <c r="HG27" s="346"/>
      <c r="HK27" s="354" t="s">
        <v>39</v>
      </c>
      <c r="HL27" s="355"/>
      <c r="HO27" s="346"/>
      <c r="HS27" s="354" t="s">
        <v>39</v>
      </c>
      <c r="HT27" s="355"/>
      <c r="HW27" s="346"/>
      <c r="IA27" s="354" t="s">
        <v>39</v>
      </c>
      <c r="IB27" s="355"/>
      <c r="IE27" s="346"/>
      <c r="II27" s="354" t="s">
        <v>39</v>
      </c>
      <c r="IJ27" s="355"/>
      <c r="IM27" s="346"/>
      <c r="IQ27" s="354" t="s">
        <v>39</v>
      </c>
      <c r="IR27" s="355"/>
      <c r="IU27" s="346"/>
      <c r="IY27" s="354" t="s">
        <v>39</v>
      </c>
      <c r="IZ27" s="355"/>
      <c r="JC27" s="346"/>
      <c r="JG27" s="354" t="s">
        <v>39</v>
      </c>
      <c r="JH27" s="355"/>
      <c r="JK27" s="346"/>
      <c r="JO27" s="354" t="s">
        <v>39</v>
      </c>
      <c r="JP27" s="355"/>
      <c r="JS27" s="346"/>
      <c r="JW27" s="354" t="s">
        <v>39</v>
      </c>
      <c r="JX27" s="355"/>
      <c r="KA27" s="346"/>
      <c r="KE27" s="354" t="s">
        <v>39</v>
      </c>
      <c r="KF27" s="355"/>
      <c r="KI27" s="346"/>
      <c r="KM27" s="354" t="s">
        <v>39</v>
      </c>
      <c r="KN27" s="355"/>
      <c r="KQ27" s="346"/>
      <c r="KU27" s="354" t="s">
        <v>39</v>
      </c>
      <c r="KV27" s="355"/>
      <c r="KY27" s="346"/>
      <c r="LC27" s="354" t="s">
        <v>39</v>
      </c>
      <c r="LD27" s="355"/>
      <c r="LG27" s="346"/>
      <c r="LK27" s="354" t="s">
        <v>39</v>
      </c>
      <c r="LL27" s="355"/>
      <c r="LO27" s="346"/>
      <c r="LS27" s="354" t="s">
        <v>39</v>
      </c>
      <c r="LT27" s="355"/>
      <c r="LW27" s="346"/>
      <c r="MA27" s="354" t="s">
        <v>39</v>
      </c>
      <c r="MB27" s="355"/>
      <c r="ME27" s="346"/>
      <c r="MI27" s="354" t="s">
        <v>39</v>
      </c>
      <c r="MJ27" s="355"/>
      <c r="MM27" s="346"/>
      <c r="MQ27" s="354" t="s">
        <v>39</v>
      </c>
      <c r="MR27" s="355"/>
      <c r="MU27" s="346"/>
      <c r="MY27" s="354" t="s">
        <v>39</v>
      </c>
      <c r="MZ27" s="355"/>
      <c r="NC27" s="346"/>
      <c r="NG27" s="354" t="s">
        <v>39</v>
      </c>
      <c r="NH27" s="355"/>
      <c r="NK27" s="346"/>
      <c r="NO27" s="354" t="s">
        <v>39</v>
      </c>
      <c r="NP27" s="355"/>
      <c r="NS27" s="346"/>
      <c r="NW27" s="354" t="s">
        <v>39</v>
      </c>
      <c r="NX27" s="355"/>
      <c r="OA27" s="346"/>
      <c r="OE27" s="354" t="s">
        <v>39</v>
      </c>
      <c r="OF27" s="355"/>
      <c r="OI27" s="346"/>
      <c r="OM27" s="354" t="s">
        <v>39</v>
      </c>
      <c r="ON27" s="355"/>
      <c r="OQ27" s="346"/>
      <c r="OU27" s="354" t="s">
        <v>39</v>
      </c>
      <c r="OV27" s="355"/>
      <c r="OY27" s="346"/>
      <c r="PC27" s="354" t="s">
        <v>39</v>
      </c>
      <c r="PD27" s="355"/>
      <c r="PG27" s="346"/>
      <c r="PK27" s="354" t="s">
        <v>39</v>
      </c>
      <c r="PL27" s="355"/>
      <c r="PO27" s="346"/>
      <c r="PS27" s="354" t="s">
        <v>39</v>
      </c>
      <c r="PT27" s="355"/>
      <c r="PW27" s="346"/>
      <c r="QA27" s="354" t="s">
        <v>39</v>
      </c>
      <c r="QB27" s="355"/>
      <c r="QE27" s="346"/>
      <c r="QI27" s="354" t="s">
        <v>39</v>
      </c>
      <c r="QJ27" s="355"/>
      <c r="QM27" s="346"/>
      <c r="QQ27" s="354" t="s">
        <v>39</v>
      </c>
      <c r="QR27" s="355"/>
      <c r="QU27" s="346"/>
      <c r="QY27" s="354" t="s">
        <v>39</v>
      </c>
      <c r="QZ27" s="355"/>
      <c r="RC27" s="346"/>
      <c r="RG27" s="354" t="s">
        <v>39</v>
      </c>
      <c r="RH27" s="355"/>
      <c r="RK27" s="346"/>
      <c r="RO27" s="354" t="s">
        <v>39</v>
      </c>
      <c r="RP27" s="355"/>
      <c r="RS27" s="346"/>
      <c r="RW27" s="354" t="s">
        <v>39</v>
      </c>
      <c r="RX27" s="355"/>
      <c r="SA27" s="346"/>
      <c r="SE27" s="354" t="s">
        <v>39</v>
      </c>
      <c r="SF27" s="355"/>
      <c r="SI27" s="346"/>
      <c r="SM27" s="354" t="s">
        <v>39</v>
      </c>
      <c r="SN27" s="355"/>
      <c r="SQ27" s="346"/>
      <c r="SU27" s="354" t="s">
        <v>39</v>
      </c>
      <c r="SV27" s="355"/>
      <c r="SY27" s="346"/>
      <c r="TC27" s="354" t="s">
        <v>39</v>
      </c>
      <c r="TD27" s="355"/>
      <c r="TG27" s="346"/>
      <c r="TK27" s="354" t="s">
        <v>39</v>
      </c>
      <c r="TL27" s="355"/>
      <c r="TO27" s="346"/>
      <c r="TS27" s="354" t="s">
        <v>39</v>
      </c>
      <c r="TT27" s="355"/>
      <c r="TW27" s="346"/>
      <c r="UA27" s="354" t="s">
        <v>39</v>
      </c>
      <c r="UB27" s="355"/>
      <c r="UE27" s="346"/>
      <c r="UI27" s="354" t="s">
        <v>39</v>
      </c>
      <c r="UJ27" s="355"/>
      <c r="UM27" s="346"/>
      <c r="UQ27" s="354" t="s">
        <v>39</v>
      </c>
      <c r="UR27" s="355"/>
      <c r="UU27" s="346"/>
      <c r="UY27" s="354" t="s">
        <v>39</v>
      </c>
      <c r="UZ27" s="355"/>
      <c r="VC27" s="346"/>
      <c r="VG27" s="354" t="s">
        <v>39</v>
      </c>
      <c r="VH27" s="355"/>
      <c r="VK27" s="346"/>
      <c r="VO27" s="354" t="s">
        <v>39</v>
      </c>
      <c r="VP27" s="355"/>
      <c r="VS27" s="346"/>
    </row>
    <row r="28" spans="3:591" x14ac:dyDescent="0.4">
      <c r="C28" s="1"/>
      <c r="D28" s="1"/>
      <c r="E28" s="1"/>
      <c r="F28" s="19" t="s">
        <v>67</v>
      </c>
      <c r="G28" s="20" t="s">
        <v>98</v>
      </c>
      <c r="H28" s="20" t="s">
        <v>490</v>
      </c>
      <c r="I28" s="1"/>
      <c r="J28" s="1"/>
      <c r="K28" s="1"/>
      <c r="L28" s="1"/>
      <c r="M28" s="1"/>
      <c r="O28" s="346"/>
      <c r="Q28" s="1"/>
      <c r="R28" s="1"/>
      <c r="S28" s="1"/>
      <c r="T28" s="19" t="s">
        <v>67</v>
      </c>
      <c r="U28" s="20" t="s">
        <v>98</v>
      </c>
      <c r="V28" s="20" t="s">
        <v>490</v>
      </c>
      <c r="W28" s="1"/>
      <c r="X28" s="1"/>
      <c r="Y28" s="1"/>
      <c r="Z28" s="1"/>
      <c r="AA28" s="1"/>
      <c r="AC28" s="346"/>
      <c r="AE28" s="30" t="str">
        <f ca="1"/>
        <v>BMW 420d Gran Coupé B-Pillar RH LINE 3</v>
      </c>
      <c r="AF28" s="31">
        <f t="shared" ca="1" si="0"/>
        <v>1</v>
      </c>
      <c r="AH28" s="366"/>
      <c r="AJ28" s="11"/>
      <c r="AK28" s="87" t="s">
        <v>528</v>
      </c>
      <c r="AL28" s="11"/>
      <c r="AM28" s="12"/>
      <c r="AN28" s="11"/>
      <c r="AO28" s="12"/>
      <c r="AP28" s="12"/>
      <c r="AQ28" s="12"/>
      <c r="AR28" s="12"/>
      <c r="AS28" s="12"/>
      <c r="AT28" s="12"/>
      <c r="AU28" s="11"/>
      <c r="AV28" s="11"/>
      <c r="AW28" s="11"/>
      <c r="AX28" s="12"/>
      <c r="AY28" s="12"/>
      <c r="AZ28" s="12"/>
      <c r="BA28" s="12"/>
      <c r="BB28" s="12"/>
      <c r="BC28" s="12"/>
      <c r="BE28" s="12"/>
      <c r="BF28" s="11"/>
      <c r="BG28" s="11"/>
      <c r="BH28" s="11"/>
      <c r="BI28" s="11"/>
      <c r="BJ28" s="11"/>
      <c r="BK28" s="366"/>
      <c r="BO28" s="33" t="s">
        <v>31</v>
      </c>
      <c r="BP28" s="85">
        <v>74</v>
      </c>
      <c r="BS28" s="346"/>
      <c r="BW28" s="33" t="s">
        <v>31</v>
      </c>
      <c r="BX28" s="85">
        <v>280</v>
      </c>
      <c r="CA28" s="346"/>
      <c r="CE28" s="33" t="s">
        <v>31</v>
      </c>
      <c r="CF28" s="85">
        <v>302</v>
      </c>
      <c r="CI28" s="346"/>
      <c r="CM28" s="33" t="s">
        <v>31</v>
      </c>
      <c r="CN28" s="85">
        <v>244</v>
      </c>
      <c r="CQ28" s="346"/>
      <c r="CU28" s="33" t="s">
        <v>31</v>
      </c>
      <c r="CV28" s="85">
        <v>313</v>
      </c>
      <c r="CY28" s="346"/>
      <c r="DC28" s="33" t="s">
        <v>31</v>
      </c>
      <c r="DD28" s="85">
        <v>299</v>
      </c>
      <c r="DG28" s="346"/>
      <c r="DK28" s="33" t="s">
        <v>31</v>
      </c>
      <c r="DL28" s="85">
        <v>217</v>
      </c>
      <c r="DO28" s="346"/>
      <c r="DS28" s="33" t="s">
        <v>31</v>
      </c>
      <c r="DT28" s="85">
        <v>302</v>
      </c>
      <c r="DW28" s="369"/>
      <c r="EA28" s="33" t="s">
        <v>31</v>
      </c>
      <c r="EB28" s="85">
        <v>120</v>
      </c>
      <c r="EE28" s="346"/>
      <c r="EI28" s="33" t="s">
        <v>31</v>
      </c>
      <c r="EJ28" s="85">
        <v>316</v>
      </c>
      <c r="EM28" s="346"/>
      <c r="EQ28" s="33" t="s">
        <v>31</v>
      </c>
      <c r="ER28" s="85">
        <v>120</v>
      </c>
      <c r="EU28" s="346"/>
      <c r="EY28" s="33" t="s">
        <v>31</v>
      </c>
      <c r="EZ28" s="85">
        <v>178</v>
      </c>
      <c r="FC28" s="369"/>
      <c r="FG28" s="33" t="s">
        <v>31</v>
      </c>
      <c r="FH28" s="85">
        <v>294</v>
      </c>
      <c r="FK28" s="346"/>
      <c r="FO28" s="33" t="s">
        <v>31</v>
      </c>
      <c r="FP28" s="85">
        <v>94</v>
      </c>
      <c r="FS28" s="346"/>
      <c r="FW28" s="33" t="s">
        <v>31</v>
      </c>
      <c r="FX28" s="85">
        <v>147</v>
      </c>
      <c r="GA28" s="346"/>
      <c r="GE28" s="33" t="s">
        <v>31</v>
      </c>
      <c r="GF28" s="85">
        <v>99</v>
      </c>
      <c r="GI28" s="346"/>
      <c r="GM28" s="33" t="s">
        <v>31</v>
      </c>
      <c r="GN28" s="85">
        <v>85</v>
      </c>
      <c r="GQ28" s="346"/>
      <c r="GU28" s="33" t="s">
        <v>31</v>
      </c>
      <c r="GV28" s="85">
        <v>129</v>
      </c>
      <c r="GY28" s="346"/>
      <c r="HC28" s="33" t="s">
        <v>31</v>
      </c>
      <c r="HD28" s="85">
        <v>136</v>
      </c>
      <c r="HG28" s="346"/>
      <c r="HK28" s="33" t="s">
        <v>31</v>
      </c>
      <c r="HL28" s="85">
        <v>71</v>
      </c>
      <c r="HO28" s="346"/>
      <c r="HS28" s="33" t="s">
        <v>31</v>
      </c>
      <c r="HT28" s="85">
        <v>316</v>
      </c>
      <c r="HW28" s="346"/>
      <c r="IA28" s="33" t="s">
        <v>31</v>
      </c>
      <c r="IB28" s="85">
        <v>203</v>
      </c>
      <c r="IE28" s="346"/>
      <c r="II28" s="33" t="s">
        <v>31</v>
      </c>
      <c r="IJ28" s="85">
        <v>82</v>
      </c>
      <c r="IM28" s="346"/>
      <c r="IQ28" s="33" t="s">
        <v>31</v>
      </c>
      <c r="IR28" s="85">
        <v>162</v>
      </c>
      <c r="IU28" s="346"/>
      <c r="IY28" s="33" t="s">
        <v>31</v>
      </c>
      <c r="IZ28" s="85">
        <v>211</v>
      </c>
      <c r="JC28" s="346"/>
      <c r="JG28" s="33" t="s">
        <v>31</v>
      </c>
      <c r="JH28" s="85">
        <v>280</v>
      </c>
      <c r="JK28" s="346"/>
      <c r="JO28" s="33" t="s">
        <v>31</v>
      </c>
      <c r="JP28" s="85">
        <v>54</v>
      </c>
      <c r="JS28" s="346"/>
      <c r="JW28" s="33" t="s">
        <v>31</v>
      </c>
      <c r="JX28" s="85">
        <v>302</v>
      </c>
      <c r="KA28" s="346"/>
      <c r="KE28" s="33" t="s">
        <v>31</v>
      </c>
      <c r="KF28" s="85">
        <v>51</v>
      </c>
      <c r="KI28" s="346"/>
      <c r="KM28" s="33" t="s">
        <v>31</v>
      </c>
      <c r="KN28" s="85">
        <v>160</v>
      </c>
      <c r="KQ28" s="346"/>
      <c r="KU28" s="33" t="s">
        <v>31</v>
      </c>
      <c r="KV28" s="85">
        <v>338</v>
      </c>
      <c r="KY28" s="346"/>
      <c r="LC28" s="33" t="s">
        <v>31</v>
      </c>
      <c r="LD28" s="85">
        <v>130</v>
      </c>
      <c r="LG28" s="346"/>
      <c r="LK28" s="33" t="s">
        <v>31</v>
      </c>
      <c r="LL28" s="85">
        <v>180</v>
      </c>
      <c r="LO28" s="346"/>
      <c r="LS28" s="33" t="s">
        <v>31</v>
      </c>
      <c r="LT28" s="85">
        <v>282</v>
      </c>
      <c r="LW28" s="346"/>
      <c r="MA28" s="33" t="s">
        <v>31</v>
      </c>
      <c r="MB28" s="85">
        <v>162</v>
      </c>
      <c r="ME28" s="346"/>
      <c r="MI28" s="33" t="s">
        <v>31</v>
      </c>
      <c r="MJ28" s="85">
        <v>219</v>
      </c>
      <c r="MM28" s="346"/>
      <c r="MQ28" s="33" t="s">
        <v>31</v>
      </c>
      <c r="MR28" s="85">
        <v>292</v>
      </c>
      <c r="MU28" s="346"/>
      <c r="MY28" s="33" t="s">
        <v>31</v>
      </c>
      <c r="MZ28" s="85">
        <v>228</v>
      </c>
      <c r="NC28" s="346"/>
      <c r="NG28" s="33" t="s">
        <v>31</v>
      </c>
      <c r="NH28" s="85">
        <v>55</v>
      </c>
      <c r="NK28" s="346"/>
      <c r="NO28" s="33" t="s">
        <v>31</v>
      </c>
      <c r="NP28" s="85">
        <v>83</v>
      </c>
      <c r="NS28" s="346"/>
      <c r="NW28" s="33" t="s">
        <v>31</v>
      </c>
      <c r="NX28" s="85">
        <v>224</v>
      </c>
      <c r="OA28" s="346"/>
      <c r="OE28" s="33" t="s">
        <v>31</v>
      </c>
      <c r="OF28" s="85">
        <v>76</v>
      </c>
      <c r="OI28" s="346"/>
      <c r="OM28" s="33" t="s">
        <v>31</v>
      </c>
      <c r="ON28" s="85">
        <v>153</v>
      </c>
      <c r="OQ28" s="346"/>
      <c r="OU28" s="33" t="s">
        <v>31</v>
      </c>
      <c r="OV28" s="85">
        <v>102</v>
      </c>
      <c r="OY28" s="346"/>
      <c r="PC28" s="33" t="s">
        <v>31</v>
      </c>
      <c r="PD28" s="85">
        <v>137</v>
      </c>
      <c r="PG28" s="346"/>
      <c r="PK28" s="33" t="s">
        <v>31</v>
      </c>
      <c r="PL28" s="85">
        <v>92</v>
      </c>
      <c r="PO28" s="346"/>
      <c r="PS28" s="33" t="s">
        <v>31</v>
      </c>
      <c r="PT28" s="85">
        <v>255</v>
      </c>
      <c r="PW28" s="346"/>
      <c r="QA28" s="33" t="s">
        <v>31</v>
      </c>
      <c r="QB28" s="85">
        <v>140</v>
      </c>
      <c r="QE28" s="346"/>
      <c r="QI28" s="33" t="s">
        <v>31</v>
      </c>
      <c r="QJ28" s="85">
        <v>238</v>
      </c>
      <c r="QM28" s="346"/>
      <c r="QQ28" s="33" t="s">
        <v>31</v>
      </c>
      <c r="QR28" s="85">
        <v>225</v>
      </c>
      <c r="QU28" s="346"/>
      <c r="QY28" s="33" t="s">
        <v>31</v>
      </c>
      <c r="QZ28" s="85">
        <v>109</v>
      </c>
      <c r="RC28" s="346"/>
      <c r="RG28" s="33" t="s">
        <v>31</v>
      </c>
      <c r="RH28" s="85">
        <v>266</v>
      </c>
      <c r="RK28" s="346"/>
      <c r="RO28" s="33" t="s">
        <v>31</v>
      </c>
      <c r="RP28" s="85">
        <v>289</v>
      </c>
      <c r="RS28" s="346"/>
      <c r="RW28" s="33" t="s">
        <v>31</v>
      </c>
      <c r="RX28" s="85">
        <v>51</v>
      </c>
      <c r="SA28" s="346"/>
      <c r="SE28" s="33" t="s">
        <v>31</v>
      </c>
      <c r="SF28" s="85">
        <v>257</v>
      </c>
      <c r="SI28" s="346"/>
      <c r="SM28" s="33" t="s">
        <v>31</v>
      </c>
      <c r="SN28" s="85">
        <v>215</v>
      </c>
      <c r="SQ28" s="346"/>
      <c r="SU28" s="33" t="s">
        <v>31</v>
      </c>
      <c r="SV28" s="85">
        <v>296</v>
      </c>
      <c r="SY28" s="346"/>
      <c r="TC28" s="33" t="s">
        <v>31</v>
      </c>
      <c r="TD28" s="85">
        <v>332</v>
      </c>
      <c r="TG28" s="346"/>
      <c r="TK28" s="33" t="s">
        <v>31</v>
      </c>
      <c r="TL28" s="85">
        <v>201</v>
      </c>
      <c r="TO28" s="346"/>
      <c r="TS28" s="33" t="s">
        <v>31</v>
      </c>
      <c r="TT28" s="85">
        <v>204</v>
      </c>
      <c r="TW28" s="346"/>
      <c r="UA28" s="33" t="s">
        <v>31</v>
      </c>
      <c r="UB28" s="85">
        <v>139</v>
      </c>
      <c r="UE28" s="346"/>
      <c r="UI28" s="33" t="s">
        <v>31</v>
      </c>
      <c r="UJ28" s="85">
        <v>195</v>
      </c>
      <c r="UM28" s="346"/>
      <c r="UQ28" s="33" t="s">
        <v>31</v>
      </c>
      <c r="UR28" s="85">
        <v>329</v>
      </c>
      <c r="UU28" s="346"/>
      <c r="UY28" s="33" t="s">
        <v>31</v>
      </c>
      <c r="UZ28" s="85">
        <v>215</v>
      </c>
      <c r="VC28" s="346"/>
      <c r="VG28" s="33" t="s">
        <v>31</v>
      </c>
      <c r="VH28" s="85">
        <v>88</v>
      </c>
      <c r="VK28" s="346"/>
      <c r="VO28" s="33" t="s">
        <v>31</v>
      </c>
      <c r="VP28" s="85">
        <v>68</v>
      </c>
      <c r="VS28" s="346"/>
    </row>
    <row r="29" spans="3:591" x14ac:dyDescent="0.4">
      <c r="C29" s="1"/>
      <c r="D29" s="1"/>
      <c r="E29" s="1"/>
      <c r="F29" s="19" t="s">
        <v>68</v>
      </c>
      <c r="G29" s="20" t="s">
        <v>99</v>
      </c>
      <c r="H29" s="20" t="s">
        <v>491</v>
      </c>
      <c r="I29" s="1"/>
      <c r="J29" s="1"/>
      <c r="K29" s="1"/>
      <c r="L29" s="1"/>
      <c r="M29" s="1"/>
      <c r="O29" s="346"/>
      <c r="Q29" s="1"/>
      <c r="R29" s="1"/>
      <c r="S29" s="1"/>
      <c r="T29" s="19" t="s">
        <v>68</v>
      </c>
      <c r="U29" s="20" t="s">
        <v>99</v>
      </c>
      <c r="V29" s="20" t="s">
        <v>491</v>
      </c>
      <c r="W29" s="1"/>
      <c r="X29" s="1"/>
      <c r="Y29" s="1"/>
      <c r="Z29" s="1"/>
      <c r="AA29" s="1"/>
      <c r="AC29" s="346"/>
      <c r="AE29" s="30" t="str">
        <f ca="1"/>
        <v>BMW M550i xDrive B-Pillar LH LINE 3</v>
      </c>
      <c r="AF29" s="31">
        <f t="shared" ca="1" si="0"/>
        <v>1</v>
      </c>
      <c r="AH29" s="366"/>
      <c r="AJ29" s="11"/>
      <c r="AK29" s="87" t="s">
        <v>527</v>
      </c>
      <c r="AL29" s="11"/>
      <c r="AM29" s="11"/>
      <c r="AN29" s="11"/>
      <c r="AO29" s="11"/>
      <c r="AP29" s="11"/>
      <c r="AQ29" s="114"/>
      <c r="AR29" s="11"/>
      <c r="AS29" s="11"/>
      <c r="AT29" s="11"/>
      <c r="AU29" s="11"/>
      <c r="AV29" s="11"/>
      <c r="AW29" s="11"/>
      <c r="AX29" s="11"/>
      <c r="AY29" s="11"/>
      <c r="AZ29" s="11"/>
      <c r="BA29" s="11"/>
      <c r="BB29" s="11"/>
      <c r="BC29" s="11"/>
      <c r="BE29" s="11"/>
      <c r="BF29" s="11"/>
      <c r="BG29" s="11"/>
      <c r="BH29" s="11"/>
      <c r="BI29" s="11"/>
      <c r="BJ29" s="11"/>
      <c r="BK29" s="366"/>
      <c r="BQ29"/>
      <c r="BS29" s="346"/>
      <c r="BY29"/>
      <c r="CA29" s="346"/>
      <c r="CG29"/>
      <c r="CI29" s="346"/>
      <c r="CM29" s="34"/>
      <c r="CN29"/>
      <c r="CO29"/>
      <c r="CQ29" s="346"/>
      <c r="CU29" s="34"/>
      <c r="CV29"/>
      <c r="CW29"/>
      <c r="CY29" s="346"/>
      <c r="DE29"/>
      <c r="DG29" s="346"/>
      <c r="DK29" s="34"/>
      <c r="DL29"/>
      <c r="DM29"/>
      <c r="DO29" s="346"/>
      <c r="DS29" s="34"/>
      <c r="DT29"/>
      <c r="DU29"/>
      <c r="DW29" s="369"/>
      <c r="EA29" s="34"/>
      <c r="EB29"/>
      <c r="EC29"/>
      <c r="EE29" s="346"/>
      <c r="EI29" s="34"/>
      <c r="EJ29"/>
      <c r="EK29"/>
      <c r="EM29" s="346"/>
      <c r="EQ29" s="34"/>
      <c r="ER29"/>
      <c r="ES29"/>
      <c r="EU29" s="346"/>
      <c r="EY29" s="34"/>
      <c r="EZ29"/>
      <c r="FA29"/>
      <c r="FC29" s="369"/>
      <c r="FG29" s="34"/>
      <c r="FH29"/>
      <c r="FI29"/>
      <c r="FK29" s="346"/>
      <c r="FO29" s="34"/>
      <c r="FP29"/>
      <c r="FQ29"/>
      <c r="FS29" s="346"/>
      <c r="FW29" s="34"/>
      <c r="FX29"/>
      <c r="FY29"/>
      <c r="GA29" s="346"/>
      <c r="GE29" s="34"/>
      <c r="GF29"/>
      <c r="GG29"/>
      <c r="GI29" s="346"/>
      <c r="GM29" s="34"/>
      <c r="GN29"/>
      <c r="GO29"/>
      <c r="GQ29" s="346"/>
      <c r="GU29" s="34"/>
      <c r="GV29"/>
      <c r="GW29"/>
      <c r="GY29" s="346"/>
      <c r="HC29" s="34"/>
      <c r="HD29"/>
      <c r="HE29"/>
      <c r="HG29" s="346"/>
      <c r="HK29" s="34"/>
      <c r="HL29"/>
      <c r="HM29"/>
      <c r="HO29" s="346"/>
      <c r="HS29" s="34"/>
      <c r="HT29"/>
      <c r="HU29"/>
      <c r="HW29" s="346"/>
      <c r="IA29" s="34"/>
      <c r="IB29"/>
      <c r="IC29"/>
      <c r="IE29" s="346"/>
      <c r="II29" s="34"/>
      <c r="IJ29"/>
      <c r="IK29"/>
      <c r="IM29" s="346"/>
      <c r="IQ29" s="34"/>
      <c r="IR29"/>
      <c r="IS29"/>
      <c r="IU29" s="346"/>
      <c r="IY29" s="34"/>
      <c r="IZ29"/>
      <c r="JA29"/>
      <c r="JC29" s="346"/>
      <c r="JG29" s="34"/>
      <c r="JH29"/>
      <c r="JI29"/>
      <c r="JK29" s="346"/>
      <c r="JO29" s="34"/>
      <c r="JP29"/>
      <c r="JQ29"/>
      <c r="JS29" s="346"/>
      <c r="JW29" s="34"/>
      <c r="JX29"/>
      <c r="JY29"/>
      <c r="KA29" s="346"/>
      <c r="KE29" s="34"/>
      <c r="KF29"/>
      <c r="KG29"/>
      <c r="KI29" s="346"/>
      <c r="KM29" s="34"/>
      <c r="KN29"/>
      <c r="KO29"/>
      <c r="KQ29" s="346"/>
      <c r="KU29" s="34"/>
      <c r="KV29"/>
      <c r="KW29"/>
      <c r="KY29" s="346"/>
      <c r="LC29" s="34"/>
      <c r="LD29"/>
      <c r="LE29"/>
      <c r="LG29" s="346"/>
      <c r="LK29" s="34"/>
      <c r="LL29"/>
      <c r="LM29"/>
      <c r="LO29" s="346"/>
      <c r="LS29" s="34"/>
      <c r="LT29"/>
      <c r="LU29"/>
      <c r="LW29" s="346"/>
      <c r="MA29" s="34"/>
      <c r="MB29"/>
      <c r="MC29"/>
      <c r="ME29" s="346"/>
      <c r="MI29" s="34"/>
      <c r="MJ29"/>
      <c r="MK29"/>
      <c r="MM29" s="346"/>
      <c r="MQ29" s="34"/>
      <c r="MR29"/>
      <c r="MS29"/>
      <c r="MU29" s="346"/>
      <c r="MY29" s="34"/>
      <c r="MZ29"/>
      <c r="NA29"/>
      <c r="NC29" s="346"/>
      <c r="NG29" s="34"/>
      <c r="NH29"/>
      <c r="NI29"/>
      <c r="NK29" s="346"/>
      <c r="NO29" s="34"/>
      <c r="NP29"/>
      <c r="NQ29"/>
      <c r="NS29" s="346"/>
      <c r="NW29" s="34"/>
      <c r="NX29"/>
      <c r="NY29"/>
      <c r="OA29" s="346"/>
      <c r="OE29" s="34"/>
      <c r="OF29"/>
      <c r="OG29"/>
      <c r="OI29" s="346"/>
      <c r="OM29" s="34"/>
      <c r="ON29"/>
      <c r="OO29"/>
      <c r="OQ29" s="346"/>
      <c r="OU29" s="34"/>
      <c r="OV29"/>
      <c r="OW29"/>
      <c r="OY29" s="346"/>
      <c r="PC29" s="34"/>
      <c r="PD29"/>
      <c r="PE29"/>
      <c r="PG29" s="346"/>
      <c r="PK29" s="34"/>
      <c r="PL29"/>
      <c r="PM29"/>
      <c r="PO29" s="346"/>
      <c r="PS29" s="34"/>
      <c r="PT29"/>
      <c r="PU29"/>
      <c r="PW29" s="346"/>
      <c r="QA29" s="34"/>
      <c r="QB29"/>
      <c r="QC29"/>
      <c r="QE29" s="346"/>
      <c r="QI29" s="34"/>
      <c r="QJ29"/>
      <c r="QK29"/>
      <c r="QM29" s="346"/>
      <c r="QQ29" s="34"/>
      <c r="QR29"/>
      <c r="QS29"/>
      <c r="QU29" s="346"/>
      <c r="QY29" s="34"/>
      <c r="QZ29"/>
      <c r="RA29"/>
      <c r="RC29" s="346"/>
      <c r="RG29" s="34"/>
      <c r="RH29"/>
      <c r="RI29"/>
      <c r="RK29" s="346"/>
      <c r="RO29" s="34"/>
      <c r="RP29"/>
      <c r="RQ29"/>
      <c r="RS29" s="346"/>
      <c r="RW29" s="34"/>
      <c r="RX29"/>
      <c r="RY29"/>
      <c r="SA29" s="346"/>
      <c r="SE29" s="34"/>
      <c r="SF29"/>
      <c r="SG29"/>
      <c r="SI29" s="346"/>
      <c r="SM29" s="34"/>
      <c r="SN29"/>
      <c r="SO29"/>
      <c r="SQ29" s="346"/>
      <c r="SU29" s="34"/>
      <c r="SV29"/>
      <c r="SW29"/>
      <c r="SY29" s="346"/>
      <c r="TC29" s="34"/>
      <c r="TD29"/>
      <c r="TE29"/>
      <c r="TG29" s="346"/>
      <c r="TK29" s="34"/>
      <c r="TL29"/>
      <c r="TM29"/>
      <c r="TO29" s="346"/>
      <c r="TS29" s="34"/>
      <c r="TT29"/>
      <c r="TU29"/>
      <c r="TW29" s="346"/>
      <c r="UA29" s="34"/>
      <c r="UB29"/>
      <c r="UC29"/>
      <c r="UE29" s="346"/>
      <c r="UI29" s="34"/>
      <c r="UJ29"/>
      <c r="UK29"/>
      <c r="UM29" s="346"/>
      <c r="UQ29" s="34"/>
      <c r="UR29"/>
      <c r="US29"/>
      <c r="UU29" s="346"/>
      <c r="UY29" s="34"/>
      <c r="UZ29"/>
      <c r="VA29"/>
      <c r="VC29" s="346"/>
      <c r="VG29" s="34"/>
      <c r="VH29"/>
      <c r="VI29"/>
      <c r="VK29" s="346"/>
      <c r="VO29" s="34"/>
      <c r="VP29"/>
      <c r="VQ29"/>
      <c r="VS29" s="346"/>
    </row>
    <row r="30" spans="3:591" x14ac:dyDescent="0.4">
      <c r="C30" s="1"/>
      <c r="D30" s="1"/>
      <c r="E30" s="1"/>
      <c r="F30" s="19" t="s">
        <v>69</v>
      </c>
      <c r="G30" s="20" t="s">
        <v>100</v>
      </c>
      <c r="H30" s="20" t="s">
        <v>492</v>
      </c>
      <c r="I30" s="1"/>
      <c r="J30" s="1"/>
      <c r="K30" s="1"/>
      <c r="L30" s="1"/>
      <c r="M30" s="1"/>
      <c r="O30" s="346"/>
      <c r="Q30" s="1"/>
      <c r="R30" s="1"/>
      <c r="S30" s="1"/>
      <c r="T30" s="19" t="s">
        <v>69</v>
      </c>
      <c r="U30" s="20" t="s">
        <v>100</v>
      </c>
      <c r="V30" s="20" t="s">
        <v>492</v>
      </c>
      <c r="W30" s="1"/>
      <c r="X30" s="1"/>
      <c r="Y30" s="1"/>
      <c r="Z30" s="1"/>
      <c r="AA30" s="1"/>
      <c r="AC30" s="346"/>
      <c r="AE30" s="30" t="str">
        <f ca="1"/>
        <v>BMW M550i xDrive B-Pillar RH LINE 3</v>
      </c>
      <c r="AF30" s="31">
        <f t="shared" ca="1" si="0"/>
        <v>1</v>
      </c>
      <c r="AH30" s="366"/>
      <c r="AJ30" s="11"/>
      <c r="AK30" s="11"/>
      <c r="AL30" s="11"/>
      <c r="AM30" s="11"/>
      <c r="AN30" s="11"/>
      <c r="AO30" s="11"/>
      <c r="AP30" s="11"/>
      <c r="AQ30" s="11"/>
      <c r="AR30" s="11"/>
      <c r="AS30" s="11"/>
      <c r="AT30" s="11"/>
      <c r="AU30" s="11"/>
      <c r="AV30" s="11"/>
      <c r="AW30" s="11"/>
      <c r="AX30" s="11"/>
      <c r="AY30" s="11"/>
      <c r="AZ30" s="11"/>
      <c r="BA30" s="11"/>
      <c r="BB30" s="11"/>
      <c r="BC30" s="11"/>
      <c r="BE30" s="11"/>
      <c r="BF30" s="11"/>
      <c r="BG30" s="11"/>
      <c r="BH30" s="11"/>
      <c r="BI30" s="11"/>
      <c r="BJ30" s="11"/>
      <c r="BK30" s="366"/>
      <c r="BS30" s="346"/>
      <c r="CA30" s="346"/>
      <c r="CI30" s="346"/>
      <c r="CQ30" s="346"/>
      <c r="CY30" s="346"/>
      <c r="DG30" s="346"/>
      <c r="DO30" s="346"/>
      <c r="DW30" s="369"/>
      <c r="EE30" s="346"/>
      <c r="EM30" s="346"/>
      <c r="EU30" s="346"/>
      <c r="FC30" s="369"/>
      <c r="FK30" s="346"/>
      <c r="FS30" s="346"/>
      <c r="GA30" s="346"/>
      <c r="GI30" s="346"/>
      <c r="GQ30" s="346"/>
      <c r="GY30" s="346"/>
      <c r="HG30" s="346"/>
      <c r="HO30" s="346"/>
      <c r="HW30" s="346"/>
      <c r="IE30" s="346"/>
      <c r="IM30" s="346"/>
      <c r="IU30" s="346"/>
      <c r="JC30" s="346"/>
      <c r="JK30" s="346"/>
      <c r="JS30" s="346"/>
      <c r="KA30" s="346"/>
      <c r="KI30" s="346"/>
      <c r="KQ30" s="346"/>
      <c r="KY30" s="346"/>
      <c r="LG30" s="346"/>
      <c r="LO30" s="346"/>
      <c r="LW30" s="346"/>
      <c r="ME30" s="346"/>
      <c r="MM30" s="346"/>
      <c r="MU30" s="346"/>
      <c r="NC30" s="346"/>
      <c r="NK30" s="346"/>
      <c r="NS30" s="346"/>
      <c r="OA30" s="346"/>
      <c r="OI30" s="346"/>
      <c r="OQ30" s="346"/>
      <c r="OY30" s="346"/>
      <c r="PG30" s="346"/>
      <c r="PO30" s="346"/>
      <c r="PW30" s="346"/>
      <c r="QE30" s="346"/>
      <c r="QM30" s="346"/>
      <c r="QU30" s="346"/>
      <c r="RC30" s="346"/>
      <c r="RK30" s="346"/>
      <c r="RS30" s="346"/>
      <c r="SA30" s="346"/>
      <c r="SI30" s="346"/>
      <c r="SQ30" s="346"/>
      <c r="SY30" s="346"/>
      <c r="TG30" s="346"/>
      <c r="TO30" s="346"/>
      <c r="TW30" s="346"/>
      <c r="UE30" s="346"/>
      <c r="UM30" s="346"/>
      <c r="UU30" s="346"/>
      <c r="VC30" s="346"/>
      <c r="VK30" s="346"/>
      <c r="VS30" s="346"/>
    </row>
    <row r="31" spans="3:591" x14ac:dyDescent="0.4">
      <c r="C31" s="1"/>
      <c r="D31" s="1"/>
      <c r="E31" s="1"/>
      <c r="F31" s="19" t="s">
        <v>70</v>
      </c>
      <c r="G31" s="20" t="s">
        <v>101</v>
      </c>
      <c r="H31" s="20" t="s">
        <v>493</v>
      </c>
      <c r="I31" s="1"/>
      <c r="J31" s="1"/>
      <c r="K31" s="1"/>
      <c r="L31" s="1"/>
      <c r="M31" s="1"/>
      <c r="O31" s="346"/>
      <c r="Q31" s="1"/>
      <c r="R31" s="1"/>
      <c r="S31" s="1"/>
      <c r="T31" s="19" t="s">
        <v>70</v>
      </c>
      <c r="U31" s="20" t="s">
        <v>101</v>
      </c>
      <c r="V31" s="20" t="s">
        <v>493</v>
      </c>
      <c r="W31" s="1"/>
      <c r="X31" s="1"/>
      <c r="Y31" s="1"/>
      <c r="Z31" s="1"/>
      <c r="AA31" s="1"/>
      <c r="AC31" s="346"/>
      <c r="AE31" s="30" t="str">
        <f ca="1"/>
        <v>BMW X7 A-Pillar LH LINE 2</v>
      </c>
      <c r="AF31" s="31">
        <f t="shared" ca="1" si="0"/>
        <v>1</v>
      </c>
      <c r="AH31" s="366"/>
      <c r="AJ31" s="11"/>
      <c r="AK31" s="11"/>
      <c r="AL31" s="11"/>
      <c r="AM31" s="11"/>
      <c r="AN31" s="11"/>
      <c r="AO31" s="11"/>
      <c r="AP31" s="11"/>
      <c r="AQ31" s="11"/>
      <c r="AR31" s="11"/>
      <c r="AS31" s="11"/>
      <c r="AT31" s="11"/>
      <c r="AU31" s="11"/>
      <c r="AV31" s="11"/>
      <c r="AW31" s="11"/>
      <c r="AX31" s="11"/>
      <c r="AY31" s="11"/>
      <c r="AZ31" s="11"/>
      <c r="BA31" s="11"/>
      <c r="BB31" s="11"/>
      <c r="BC31" s="11"/>
      <c r="BE31" s="11"/>
      <c r="BF31" s="11"/>
      <c r="BG31" s="11"/>
      <c r="BH31" s="11"/>
      <c r="BI31" s="11"/>
      <c r="BJ31" s="11"/>
      <c r="BK31" s="366"/>
      <c r="BO31" s="353" t="str">
        <f>SUBSTITUTE(LOWER(BS$1)," ","_") &amp; "_"</f>
        <v>mercedez_gle_53_rear_axle_line_2_</v>
      </c>
      <c r="BP31" s="353"/>
      <c r="BS31" s="346"/>
      <c r="BW31" s="353" t="str">
        <f>SUBSTITUTE(LOWER(CA$1)," ","_") &amp; "_"</f>
        <v>mercedez_gle_580_rear_axle_line_2_</v>
      </c>
      <c r="BX31" s="353"/>
      <c r="CA31" s="346"/>
      <c r="CI31" s="346"/>
      <c r="CM31" s="353" t="str">
        <f>SUBSTITUTE(LOWER(CQ$1)," ","_") &amp; "_"</f>
        <v>mercedez_gle_53_front_axle_line_1_</v>
      </c>
      <c r="CN31" s="353"/>
      <c r="CQ31" s="346"/>
      <c r="CU31" s="353" t="str">
        <f>SUBSTITUTE(LOWER(CY$1)," ","_") &amp; "_"</f>
        <v>mercedez_gle_580_front_axle_line_1_</v>
      </c>
      <c r="CV31" s="353"/>
      <c r="CY31" s="346"/>
      <c r="DC31" s="353" t="str">
        <f>SUBSTITUTE(LOWER(DG$1)," ","_") &amp; "_"</f>
        <v>mercedez_le_300_coupé_front_axle_line_1_</v>
      </c>
      <c r="DD31" s="353"/>
      <c r="DG31" s="346"/>
      <c r="DK31" s="353" t="str">
        <f>SUBSTITUTE(LOWER(DO$1)," ","_") &amp; "_"</f>
        <v>mercedez_gle_53_rear_bumper_line_1_</v>
      </c>
      <c r="DL31" s="353"/>
      <c r="DO31" s="346"/>
      <c r="DS31" s="353" t="str">
        <f>SUBSTITUTE(LOWER(DW$1)," ","_") &amp; "_"</f>
        <v>mercedez_gle_580_rear_bumper_line_1_</v>
      </c>
      <c r="DT31" s="353"/>
      <c r="DW31" s="369"/>
      <c r="EA31" s="353" t="str">
        <f>SUBSTITUTE(LOWER(EE$1)," ","_") &amp; "_"</f>
        <v>mercedez_le_300_coupé_rear_bumper_line_3_</v>
      </c>
      <c r="EB31" s="353"/>
      <c r="EE31" s="346"/>
      <c r="EI31" s="353" t="str">
        <f>SUBSTITUTE(LOWER(EM$1)," ","_") &amp; "_"</f>
        <v>bmw_x7_rear_bumper_line_1_</v>
      </c>
      <c r="EJ31" s="353"/>
      <c r="EM31" s="346"/>
      <c r="EQ31" s="353" t="str">
        <f>SUBSTITUTE(LOWER(EU$1)," ","_") &amp; "_"</f>
        <v>bmw_420d_gran_coupé_rear_bumper_line_3_</v>
      </c>
      <c r="ER31" s="353"/>
      <c r="EU31" s="346"/>
      <c r="EY31" s="353" t="str">
        <f>SUBSTITUTE(LOWER(FC$1)," ","_") &amp; "_"</f>
        <v>bmw_m550i_xdrive_rear_bumper_line_3_</v>
      </c>
      <c r="EZ31" s="353"/>
      <c r="FC31" s="369"/>
      <c r="FG31" s="353" t="str">
        <f>SUBSTITUTE(LOWER(FK$1)," ","_") &amp; "_"</f>
        <v>mercedez_gle_53_front_bumper_line_2_</v>
      </c>
      <c r="FH31" s="353"/>
      <c r="FK31" s="346"/>
      <c r="FO31" s="353" t="str">
        <f>SUBSTITUTE(LOWER(FS$1)," ","_") &amp; "_"</f>
        <v>mercedez_gle_580_front_bumper_line_2_</v>
      </c>
      <c r="FP31" s="353"/>
      <c r="FS31" s="346"/>
      <c r="FW31" s="353" t="str">
        <f>SUBSTITUTE(LOWER(GA$1)," ","_") &amp; "_"</f>
        <v>mercedez_le_300_coupé_front_bumper_line_4_</v>
      </c>
      <c r="FX31" s="353"/>
      <c r="GA31" s="346"/>
      <c r="GE31" s="353" t="str">
        <f>SUBSTITUTE(LOWER(GI$1)," ","_") &amp; "_"</f>
        <v>bmw_x7_front_bumper_line_2_</v>
      </c>
      <c r="GF31" s="353"/>
      <c r="GI31" s="346"/>
      <c r="GM31" s="353" t="str">
        <f>SUBSTITUTE(LOWER(GQ$1)," ","_") &amp; "_"</f>
        <v>bmw_420d_gran_coupé_front_bumper_line_4_</v>
      </c>
      <c r="GN31" s="353"/>
      <c r="GQ31" s="346"/>
      <c r="GU31" s="353" t="str">
        <f>SUBSTITUTE(LOWER(GY$1)," ","_") &amp; "_"</f>
        <v>bmw_m550i_xdrive_front_bumper_line_4_</v>
      </c>
      <c r="GV31" s="353"/>
      <c r="GY31" s="346"/>
      <c r="HC31" s="353" t="str">
        <f>SUBSTITUTE(LOWER(HG$1)," ","_") &amp; "_"</f>
        <v>bmw_x7_b-pillar_lh_line_3_</v>
      </c>
      <c r="HD31" s="353"/>
      <c r="HG31" s="346"/>
      <c r="HK31" s="353" t="str">
        <f>SUBSTITUTE(LOWER(HO$1)," ","_") &amp; "_"</f>
        <v>bmw_x7_b-pillar_rh_line_3_</v>
      </c>
      <c r="HL31" s="353"/>
      <c r="HO31" s="346"/>
      <c r="HS31" s="353" t="str">
        <f>SUBSTITUTE(LOWER(HW$1)," ","_") &amp; "_"</f>
        <v>bmw_420d_gran_coupé_b-pillar_lh_line_3_</v>
      </c>
      <c r="HT31" s="353"/>
      <c r="HW31" s="346"/>
      <c r="IA31" s="353" t="str">
        <f>SUBSTITUTE(LOWER(IE$1)," ","_") &amp; "_"</f>
        <v>bmw_420d_gran_coupé_b-pillar_rh_line_3_</v>
      </c>
      <c r="IB31" s="353"/>
      <c r="IE31" s="346"/>
      <c r="II31" s="353" t="str">
        <f>SUBSTITUTE(LOWER(IM$1)," ","_") &amp; "_"</f>
        <v>bmw_m550i_xdrive_b-pillar_lh_line_3_</v>
      </c>
      <c r="IJ31" s="353"/>
      <c r="IM31" s="346"/>
      <c r="IQ31" s="353" t="str">
        <f>SUBSTITUTE(LOWER(IU$1)," ","_") &amp; "_"</f>
        <v>bmw_m550i_xdrive_b-pillar_rh_line_3_</v>
      </c>
      <c r="IR31" s="353"/>
      <c r="IU31" s="346"/>
      <c r="IY31" s="353" t="str">
        <f>SUBSTITUTE(LOWER(JC$1)," ","_") &amp; "_"</f>
        <v>bmw_x7_a-pillar_lh_line_2_</v>
      </c>
      <c r="IZ31" s="353"/>
      <c r="JC31" s="346"/>
      <c r="JG31" s="353" t="str">
        <f>SUBSTITUTE(LOWER(JK$1)," ","_") &amp; "_"</f>
        <v>bmw_x7_a-pillar_rh_line_2_</v>
      </c>
      <c r="JH31" s="353"/>
      <c r="JK31" s="346"/>
      <c r="JO31" s="353" t="str">
        <f>SUBSTITUTE(LOWER(JS$1)," ","_") &amp; "_"</f>
        <v>bmw_420d_gran_coupé_a-pillar_lh_line_2_</v>
      </c>
      <c r="JP31" s="353"/>
      <c r="JS31" s="346"/>
      <c r="JW31" s="353" t="str">
        <f>SUBSTITUTE(LOWER(KA$1)," ","_") &amp; "_"</f>
        <v>bmw_420d_gran_coupé_a-pillar_rh_line_2_</v>
      </c>
      <c r="JX31" s="353"/>
      <c r="KA31" s="346"/>
      <c r="KE31" s="353" t="str">
        <f>SUBSTITUTE(LOWER(KI$1)," ","_") &amp; "_"</f>
        <v>bmw_m550i_xdrive_a-pillar_lh_line_2_</v>
      </c>
      <c r="KF31" s="353"/>
      <c r="KI31" s="346"/>
      <c r="KM31" s="353" t="str">
        <f>SUBSTITUTE(LOWER(KQ$1)," ","_") &amp; "_"</f>
        <v>bmw_m550i_xdrive_a-pillar_rh_line_2_</v>
      </c>
      <c r="KN31" s="353"/>
      <c r="KQ31" s="346"/>
      <c r="KU31" s="353" t="str">
        <f>SUBSTITUTE(LOWER(KY$1)," ","_") &amp; "_"</f>
        <v>mercedez_gle_53_c-pillar_lh_line_2_</v>
      </c>
      <c r="KV31" s="353"/>
      <c r="KY31" s="346"/>
      <c r="LC31" s="353" t="str">
        <f>SUBSTITUTE(LOWER(LG$1)," ","_") &amp; "_"</f>
        <v>mercedez_gle_53_c-pillar_rh_line_1_</v>
      </c>
      <c r="LD31" s="353"/>
      <c r="LG31" s="346"/>
      <c r="LK31" s="353" t="str">
        <f>SUBSTITUTE(LOWER(LO$1)," ","_") &amp; "_"</f>
        <v>mercedez_gle_580_c-pillar_lh_line_2_</v>
      </c>
      <c r="LL31" s="353"/>
      <c r="LO31" s="346"/>
      <c r="LS31" s="353" t="str">
        <f>SUBSTITUTE(LOWER(LW$1)," ","_") &amp; "_"</f>
        <v>mercedez_gle_580_c-pillar_rh_line_1_</v>
      </c>
      <c r="LT31" s="353"/>
      <c r="LW31" s="346"/>
      <c r="MA31" s="353" t="str">
        <f>SUBSTITUTE(LOWER(ME$1)," ","_") &amp; "_"</f>
        <v>mercedez_le_300_coupé_c-pillar_lh_line_2_</v>
      </c>
      <c r="MB31" s="353"/>
      <c r="ME31" s="346"/>
      <c r="MI31" s="353" t="str">
        <f>SUBSTITUTE(LOWER(MM$1)," ","_") &amp; "_"</f>
        <v>mercedez_le_300_coupé_c-pillar_rh_line_1_</v>
      </c>
      <c r="MJ31" s="353"/>
      <c r="MM31" s="346"/>
      <c r="MQ31" s="353" t="str">
        <f>SUBSTITUTE(LOWER(MU$1)," ","_") &amp; "_"</f>
        <v>bmw_x7_c-pillar_lh_line_2_</v>
      </c>
      <c r="MR31" s="353"/>
      <c r="MU31" s="346"/>
      <c r="MY31" s="353" t="str">
        <f>SUBSTITUTE(LOWER(NC$1)," ","_") &amp; "_"</f>
        <v>bmw_x7_c-pillar_rh_line_1_</v>
      </c>
      <c r="MZ31" s="353"/>
      <c r="NC31" s="346"/>
      <c r="NG31" s="353" t="str">
        <f>SUBSTITUTE(LOWER(NK$1)," ","_") &amp; "_"</f>
        <v>bmw_420d_gran_coupé_c-pillar_lh_line_2_</v>
      </c>
      <c r="NH31" s="353"/>
      <c r="NK31" s="346"/>
      <c r="NO31" s="353" t="str">
        <f>SUBSTITUTE(LOWER(NS$1)," ","_") &amp; "_"</f>
        <v>bmw_420d_gran_coupé_c-pillar_rh_line_1_</v>
      </c>
      <c r="NP31" s="353"/>
      <c r="NS31" s="346"/>
      <c r="NW31" s="353" t="str">
        <f>SUBSTITUTE(LOWER(OA$1)," ","_") &amp; "_"</f>
        <v>bmw_m550i_xdrive_c-pillar_lh_line_2_</v>
      </c>
      <c r="NX31" s="353"/>
      <c r="OA31" s="346"/>
      <c r="OE31" s="353" t="str">
        <f>SUBSTITUTE(LOWER(OI$1)," ","_") &amp; "_"</f>
        <v>bmw_m550i_xdrive_c-pillar_rh_line_1_</v>
      </c>
      <c r="OF31" s="353"/>
      <c r="OI31" s="346"/>
      <c r="OM31" s="353" t="str">
        <f>SUBSTITUTE(LOWER(OQ$1)," ","_") &amp; "_"</f>
        <v>mercedez_gle_53_ip_lhd_line_1_</v>
      </c>
      <c r="ON31" s="353"/>
      <c r="OQ31" s="346"/>
      <c r="OU31" s="353" t="str">
        <f>SUBSTITUTE(LOWER(OY$1)," ","_") &amp; "_"</f>
        <v>mercedez_gle_53_ip_rhd_line_2_</v>
      </c>
      <c r="OV31" s="353"/>
      <c r="OY31" s="346"/>
      <c r="PC31" s="353" t="str">
        <f>SUBSTITUTE(LOWER(PG$1)," ","_") &amp; "_"</f>
        <v>mercedez_gle_580_ip_lhd_line_1_</v>
      </c>
      <c r="PD31" s="353"/>
      <c r="PG31" s="346"/>
      <c r="PK31" s="353" t="str">
        <f>SUBSTITUTE(LOWER(PO$1)," ","_") &amp; "_"</f>
        <v>mercedez_gle_580_ip_rhd_line_2_</v>
      </c>
      <c r="PL31" s="353"/>
      <c r="PO31" s="346"/>
      <c r="PS31" s="353" t="str">
        <f>SUBSTITUTE(LOWER(PW$1)," ","_") &amp; "_"</f>
        <v>mercedez_le_300_coupé_ip_lhd_line_1_</v>
      </c>
      <c r="PT31" s="353"/>
      <c r="PW31" s="346"/>
      <c r="QA31" s="353" t="str">
        <f>SUBSTITUTE(LOWER(QE$1)," ","_") &amp; "_"</f>
        <v>mercedez_le_300_coupé_ip_rhd_line_2_</v>
      </c>
      <c r="QB31" s="353"/>
      <c r="QE31" s="346"/>
      <c r="QI31" s="353" t="str">
        <f>SUBSTITUTE(LOWER(QM$1)," ","_") &amp; "_"</f>
        <v>bmw_x7_ip_lhd_line_2_</v>
      </c>
      <c r="QJ31" s="353"/>
      <c r="QM31" s="346"/>
      <c r="QQ31" s="353" t="str">
        <f>SUBSTITUTE(LOWER(QU$1)," ","_") &amp; "_"</f>
        <v>bmw_x7_ip_rhd_line_1_</v>
      </c>
      <c r="QR31" s="353"/>
      <c r="QU31" s="346"/>
      <c r="QY31" s="353" t="str">
        <f>SUBSTITUTE(LOWER(RC$1)," ","_") &amp; "_"</f>
        <v>bmw_420d_gran_coupé_ip_lhd_line_2_</v>
      </c>
      <c r="QZ31" s="353"/>
      <c r="RC31" s="346"/>
      <c r="RG31" s="353" t="str">
        <f>SUBSTITUTE(LOWER(RK$1)," ","_") &amp; "_"</f>
        <v>bmw_420d_gran_coupé_ip_rhd_line_1_</v>
      </c>
      <c r="RH31" s="353"/>
      <c r="RK31" s="346"/>
      <c r="RO31" s="353" t="str">
        <f>SUBSTITUTE(LOWER(RS$1)," ","_") &amp; "_"</f>
        <v>bmw_m550i_xdrive_ip_lhd_line_2_</v>
      </c>
      <c r="RP31" s="353"/>
      <c r="RS31" s="346"/>
      <c r="RW31" s="353" t="str">
        <f>SUBSTITUTE(LOWER(SA$1)," ","_") &amp; "_"</f>
        <v>bmw_m550i_xdrive_ip_rhd_line_1_</v>
      </c>
      <c r="RX31" s="353"/>
      <c r="SA31" s="346"/>
      <c r="SE31" s="353" t="str">
        <f>SUBSTITUTE(LOWER(SI$1)," ","_") &amp; "_"</f>
        <v>bmw_x7_a-pillar_lh_line_4_</v>
      </c>
      <c r="SF31" s="353"/>
      <c r="SI31" s="346"/>
      <c r="SM31" s="353" t="str">
        <f>SUBSTITUTE(LOWER(SQ$1)," ","_") &amp; "_"</f>
        <v>bmw_x7_a-pillar_rh_line_4_</v>
      </c>
      <c r="SN31" s="353"/>
      <c r="SQ31" s="346"/>
      <c r="SU31" s="353" t="str">
        <f>SUBSTITUTE(LOWER(SY$1)," ","_") &amp; "_"</f>
        <v>bmw_420d_gran_coupé_a-pillar_lh_line_4_</v>
      </c>
      <c r="SV31" s="353"/>
      <c r="SY31" s="346"/>
      <c r="TC31" s="353" t="str">
        <f>SUBSTITUTE(LOWER(TG$1)," ","_") &amp; "_"</f>
        <v>bmw_420d_gran_coupé_a-pillar_rh_line_4_</v>
      </c>
      <c r="TD31" s="353"/>
      <c r="TG31" s="346"/>
      <c r="TK31" s="353" t="str">
        <f>SUBSTITUTE(LOWER(TO$1)," ","_") &amp; "_"</f>
        <v>bmw_m550i_xdrive_a-pillar_lh_line_4_</v>
      </c>
      <c r="TL31" s="353"/>
      <c r="TO31" s="346"/>
      <c r="TS31" s="353" t="str">
        <f>SUBSTITUTE(LOWER(TW$1)," ","_") &amp; "_"</f>
        <v>bmw_m550i_xdrive_a-pillar_rh_line_4_</v>
      </c>
      <c r="TT31" s="353"/>
      <c r="TW31" s="346"/>
      <c r="UA31" s="353" t="str">
        <f>SUBSTITUTE(LOWER(UE$1)," ","_") &amp; "_"</f>
        <v>mercedez_gle_53_c-pillar_lh_line_4_</v>
      </c>
      <c r="UB31" s="353"/>
      <c r="UE31" s="346"/>
      <c r="UI31" s="353" t="str">
        <f>SUBSTITUTE(LOWER(UM$1)," ","_") &amp; "_"</f>
        <v>mercedez_gle_53_c-pillar_rh_line_3_</v>
      </c>
      <c r="UJ31" s="353"/>
      <c r="UM31" s="346"/>
      <c r="UQ31" s="353" t="str">
        <f>SUBSTITUTE(LOWER(UU$1)," ","_") &amp; "_"</f>
        <v>mercedez_gle_580_c-pillar_lh_line_4_</v>
      </c>
      <c r="UR31" s="353"/>
      <c r="UU31" s="346"/>
      <c r="UY31" s="353" t="str">
        <f>SUBSTITUTE(LOWER(VC$1)," ","_") &amp; "_"</f>
        <v>mercedez_gle_580_c-pillar_rh_line_3_</v>
      </c>
      <c r="UZ31" s="353"/>
      <c r="VC31" s="346"/>
      <c r="VG31" s="353" t="str">
        <f>SUBSTITUTE(LOWER(VK$1)," ","_") &amp; "_"</f>
        <v>mercedez_le_300_coupé_c-pillar_lh_line_4_</v>
      </c>
      <c r="VH31" s="353"/>
      <c r="VK31" s="346"/>
      <c r="VO31" s="353" t="str">
        <f>SUBSTITUTE(LOWER(VS$1)," ","_") &amp; "_"</f>
        <v>mercedez_le_300_coupé_c-pillar_rh_line_3_</v>
      </c>
      <c r="VP31" s="353"/>
      <c r="VS31" s="346"/>
    </row>
    <row r="32" spans="3:591" x14ac:dyDescent="0.4">
      <c r="C32" s="1"/>
      <c r="D32" s="1"/>
      <c r="E32" s="1"/>
      <c r="F32" s="19" t="s">
        <v>71</v>
      </c>
      <c r="G32" s="20" t="s">
        <v>102</v>
      </c>
      <c r="H32" s="20" t="s">
        <v>494</v>
      </c>
      <c r="I32" s="1"/>
      <c r="J32" s="1"/>
      <c r="K32" s="1"/>
      <c r="L32" s="1"/>
      <c r="M32" s="1"/>
      <c r="O32" s="346"/>
      <c r="Q32" s="1"/>
      <c r="R32" s="1"/>
      <c r="S32" s="1"/>
      <c r="T32" s="19" t="s">
        <v>71</v>
      </c>
      <c r="U32" s="20" t="s">
        <v>102</v>
      </c>
      <c r="V32" s="20" t="s">
        <v>494</v>
      </c>
      <c r="W32" s="1"/>
      <c r="X32" s="1"/>
      <c r="Y32" s="1"/>
      <c r="Z32" s="1"/>
      <c r="AA32" s="1"/>
      <c r="AC32" s="346"/>
      <c r="AE32" s="30" t="str">
        <f ca="1"/>
        <v>BMW X7 A-Pillar RH LINE 2</v>
      </c>
      <c r="AF32" s="31">
        <f t="shared" ca="1" si="0"/>
        <v>1</v>
      </c>
      <c r="AH32" s="366"/>
      <c r="AJ32" s="11"/>
      <c r="AM32" s="11"/>
      <c r="AN32" s="11"/>
      <c r="AO32" s="11"/>
      <c r="AP32" s="11"/>
      <c r="AQ32" s="11"/>
      <c r="AR32" s="11"/>
      <c r="AS32" s="11"/>
      <c r="AT32" s="11"/>
      <c r="AU32" s="11"/>
      <c r="AV32" s="11"/>
      <c r="AW32" s="11"/>
      <c r="AX32" s="11"/>
      <c r="AY32" s="11"/>
      <c r="AZ32" s="11"/>
      <c r="BA32" s="11"/>
      <c r="BB32" s="11"/>
      <c r="BC32" s="11"/>
      <c r="BE32" s="11"/>
      <c r="BF32" s="11"/>
      <c r="BG32" s="11"/>
      <c r="BH32" s="11"/>
      <c r="BI32" s="11"/>
      <c r="BJ32" s="11"/>
      <c r="BK32" s="366"/>
      <c r="BO32" s="354" t="s">
        <v>207</v>
      </c>
      <c r="BP32" s="355"/>
      <c r="BS32" s="346"/>
      <c r="BW32" s="354" t="s">
        <v>207</v>
      </c>
      <c r="BX32" s="355"/>
      <c r="CA32" s="346"/>
      <c r="CI32" s="346"/>
      <c r="CM32" s="354" t="s">
        <v>207</v>
      </c>
      <c r="CN32" s="355"/>
      <c r="CQ32" s="346"/>
      <c r="CU32" s="354" t="s">
        <v>207</v>
      </c>
      <c r="CV32" s="355"/>
      <c r="CY32" s="346"/>
      <c r="DC32" s="354" t="s">
        <v>207</v>
      </c>
      <c r="DD32" s="355"/>
      <c r="DG32" s="346"/>
      <c r="DK32" s="354" t="s">
        <v>207</v>
      </c>
      <c r="DL32" s="355"/>
      <c r="DO32" s="346"/>
      <c r="DS32" s="354" t="s">
        <v>207</v>
      </c>
      <c r="DT32" s="355"/>
      <c r="DW32" s="369"/>
      <c r="EA32" s="354" t="s">
        <v>207</v>
      </c>
      <c r="EB32" s="355"/>
      <c r="EE32" s="346"/>
      <c r="EI32" s="354" t="s">
        <v>207</v>
      </c>
      <c r="EJ32" s="355"/>
      <c r="EM32" s="346"/>
      <c r="EQ32" s="354" t="s">
        <v>207</v>
      </c>
      <c r="ER32" s="355"/>
      <c r="EU32" s="346"/>
      <c r="EY32" s="354" t="s">
        <v>207</v>
      </c>
      <c r="EZ32" s="355"/>
      <c r="FC32" s="369"/>
      <c r="FG32" s="354" t="s">
        <v>207</v>
      </c>
      <c r="FH32" s="355"/>
      <c r="FK32" s="346"/>
      <c r="FO32" s="354" t="s">
        <v>207</v>
      </c>
      <c r="FP32" s="355"/>
      <c r="FS32" s="346"/>
      <c r="FW32" s="354" t="s">
        <v>207</v>
      </c>
      <c r="FX32" s="355"/>
      <c r="GA32" s="346"/>
      <c r="GE32" s="354" t="s">
        <v>207</v>
      </c>
      <c r="GF32" s="355"/>
      <c r="GI32" s="346"/>
      <c r="GM32" s="354" t="s">
        <v>207</v>
      </c>
      <c r="GN32" s="355"/>
      <c r="GQ32" s="346"/>
      <c r="GU32" s="354" t="s">
        <v>207</v>
      </c>
      <c r="GV32" s="355"/>
      <c r="GY32" s="346"/>
      <c r="HC32" s="354" t="s">
        <v>207</v>
      </c>
      <c r="HD32" s="355"/>
      <c r="HG32" s="346"/>
      <c r="HK32" s="354" t="s">
        <v>207</v>
      </c>
      <c r="HL32" s="355"/>
      <c r="HO32" s="346"/>
      <c r="HS32" s="354" t="s">
        <v>207</v>
      </c>
      <c r="HT32" s="355"/>
      <c r="HW32" s="346"/>
      <c r="IA32" s="354" t="s">
        <v>207</v>
      </c>
      <c r="IB32" s="355"/>
      <c r="IE32" s="346"/>
      <c r="II32" s="354" t="s">
        <v>207</v>
      </c>
      <c r="IJ32" s="355"/>
      <c r="IM32" s="346"/>
      <c r="IQ32" s="354" t="s">
        <v>207</v>
      </c>
      <c r="IR32" s="355"/>
      <c r="IU32" s="346"/>
      <c r="IY32" s="354" t="s">
        <v>207</v>
      </c>
      <c r="IZ32" s="355"/>
      <c r="JC32" s="346"/>
      <c r="JG32" s="354" t="s">
        <v>207</v>
      </c>
      <c r="JH32" s="355"/>
      <c r="JK32" s="346"/>
      <c r="JO32" s="354" t="s">
        <v>207</v>
      </c>
      <c r="JP32" s="355"/>
      <c r="JS32" s="346"/>
      <c r="JW32" s="354" t="s">
        <v>207</v>
      </c>
      <c r="JX32" s="355"/>
      <c r="KA32" s="346"/>
      <c r="KE32" s="354" t="s">
        <v>207</v>
      </c>
      <c r="KF32" s="355"/>
      <c r="KI32" s="346"/>
      <c r="KM32" s="354" t="s">
        <v>207</v>
      </c>
      <c r="KN32" s="355"/>
      <c r="KQ32" s="346"/>
      <c r="KU32" s="354" t="s">
        <v>207</v>
      </c>
      <c r="KV32" s="355"/>
      <c r="KY32" s="346"/>
      <c r="LC32" s="354" t="s">
        <v>207</v>
      </c>
      <c r="LD32" s="355"/>
      <c r="LG32" s="346"/>
      <c r="LK32" s="354" t="s">
        <v>207</v>
      </c>
      <c r="LL32" s="355"/>
      <c r="LO32" s="346"/>
      <c r="LS32" s="354" t="s">
        <v>207</v>
      </c>
      <c r="LT32" s="355"/>
      <c r="LW32" s="346"/>
      <c r="MA32" s="354" t="s">
        <v>207</v>
      </c>
      <c r="MB32" s="355"/>
      <c r="ME32" s="346"/>
      <c r="MI32" s="354" t="s">
        <v>207</v>
      </c>
      <c r="MJ32" s="355"/>
      <c r="MM32" s="346"/>
      <c r="MQ32" s="354" t="s">
        <v>207</v>
      </c>
      <c r="MR32" s="355"/>
      <c r="MU32" s="346"/>
      <c r="MY32" s="354" t="s">
        <v>207</v>
      </c>
      <c r="MZ32" s="355"/>
      <c r="NC32" s="346"/>
      <c r="NG32" s="354" t="s">
        <v>207</v>
      </c>
      <c r="NH32" s="355"/>
      <c r="NK32" s="346"/>
      <c r="NO32" s="354" t="s">
        <v>207</v>
      </c>
      <c r="NP32" s="355"/>
      <c r="NS32" s="346"/>
      <c r="NW32" s="354" t="s">
        <v>207</v>
      </c>
      <c r="NX32" s="355"/>
      <c r="OA32" s="346"/>
      <c r="OE32" s="354" t="s">
        <v>207</v>
      </c>
      <c r="OF32" s="355"/>
      <c r="OI32" s="346"/>
      <c r="OM32" s="354" t="s">
        <v>207</v>
      </c>
      <c r="ON32" s="355"/>
      <c r="OQ32" s="346"/>
      <c r="OU32" s="354" t="s">
        <v>207</v>
      </c>
      <c r="OV32" s="355"/>
      <c r="OY32" s="346"/>
      <c r="PC32" s="354" t="s">
        <v>207</v>
      </c>
      <c r="PD32" s="355"/>
      <c r="PG32" s="346"/>
      <c r="PK32" s="354" t="s">
        <v>207</v>
      </c>
      <c r="PL32" s="355"/>
      <c r="PO32" s="346"/>
      <c r="PS32" s="354" t="s">
        <v>207</v>
      </c>
      <c r="PT32" s="355"/>
      <c r="PW32" s="346"/>
      <c r="QA32" s="354" t="s">
        <v>207</v>
      </c>
      <c r="QB32" s="355"/>
      <c r="QE32" s="346"/>
      <c r="QI32" s="354" t="s">
        <v>207</v>
      </c>
      <c r="QJ32" s="355"/>
      <c r="QM32" s="346"/>
      <c r="QQ32" s="354" t="s">
        <v>207</v>
      </c>
      <c r="QR32" s="355"/>
      <c r="QU32" s="346"/>
      <c r="QY32" s="354" t="s">
        <v>207</v>
      </c>
      <c r="QZ32" s="355"/>
      <c r="RC32" s="346"/>
      <c r="RG32" s="354" t="s">
        <v>207</v>
      </c>
      <c r="RH32" s="355"/>
      <c r="RK32" s="346"/>
      <c r="RO32" s="354" t="s">
        <v>207</v>
      </c>
      <c r="RP32" s="355"/>
      <c r="RS32" s="346"/>
      <c r="RW32" s="354" t="s">
        <v>207</v>
      </c>
      <c r="RX32" s="355"/>
      <c r="SA32" s="346"/>
      <c r="SE32" s="354" t="s">
        <v>207</v>
      </c>
      <c r="SF32" s="355"/>
      <c r="SI32" s="346"/>
      <c r="SM32" s="354" t="s">
        <v>207</v>
      </c>
      <c r="SN32" s="355"/>
      <c r="SQ32" s="346"/>
      <c r="SU32" s="354" t="s">
        <v>207</v>
      </c>
      <c r="SV32" s="355"/>
      <c r="SY32" s="346"/>
      <c r="TC32" s="354" t="s">
        <v>207</v>
      </c>
      <c r="TD32" s="355"/>
      <c r="TG32" s="346"/>
      <c r="TK32" s="354" t="s">
        <v>207</v>
      </c>
      <c r="TL32" s="355"/>
      <c r="TO32" s="346"/>
      <c r="TS32" s="354" t="s">
        <v>207</v>
      </c>
      <c r="TT32" s="355"/>
      <c r="TW32" s="346"/>
      <c r="UA32" s="354" t="s">
        <v>207</v>
      </c>
      <c r="UB32" s="355"/>
      <c r="UE32" s="346"/>
      <c r="UI32" s="354" t="s">
        <v>207</v>
      </c>
      <c r="UJ32" s="355"/>
      <c r="UM32" s="346"/>
      <c r="UQ32" s="354" t="s">
        <v>207</v>
      </c>
      <c r="UR32" s="355"/>
      <c r="UU32" s="346"/>
      <c r="UY32" s="354" t="s">
        <v>207</v>
      </c>
      <c r="UZ32" s="355"/>
      <c r="VC32" s="346"/>
      <c r="VG32" s="354" t="s">
        <v>207</v>
      </c>
      <c r="VH32" s="355"/>
      <c r="VK32" s="346"/>
      <c r="VO32" s="354" t="s">
        <v>207</v>
      </c>
      <c r="VP32" s="355"/>
      <c r="VS32" s="346"/>
    </row>
    <row r="33" spans="3:591" ht="13.5" thickBot="1" x14ac:dyDescent="0.45">
      <c r="C33" s="1"/>
      <c r="D33" s="1"/>
      <c r="E33" s="1"/>
      <c r="F33" s="19" t="s">
        <v>72</v>
      </c>
      <c r="G33" s="20" t="s">
        <v>103</v>
      </c>
      <c r="H33" s="20" t="s">
        <v>495</v>
      </c>
      <c r="I33" s="1"/>
      <c r="J33" s="1"/>
      <c r="K33" s="1"/>
      <c r="L33" s="1"/>
      <c r="M33" s="1"/>
      <c r="O33" s="346"/>
      <c r="Q33" s="1"/>
      <c r="R33" s="1"/>
      <c r="S33" s="1"/>
      <c r="T33" s="19" t="s">
        <v>72</v>
      </c>
      <c r="U33" s="20" t="s">
        <v>103</v>
      </c>
      <c r="V33" s="20" t="s">
        <v>495</v>
      </c>
      <c r="W33" s="1"/>
      <c r="X33" s="1"/>
      <c r="Y33" s="1"/>
      <c r="Z33" s="1"/>
      <c r="AA33" s="1"/>
      <c r="AC33" s="346"/>
      <c r="AE33" s="30" t="str">
        <f ca="1"/>
        <v>BMW 420d Gran Coupé A-Pillar LH LINE 2</v>
      </c>
      <c r="AF33" s="31">
        <f t="shared" ca="1" si="0"/>
        <v>1</v>
      </c>
      <c r="AH33" s="366"/>
      <c r="AJ33" s="11"/>
      <c r="AM33"/>
      <c r="AN33"/>
      <c r="AO33"/>
      <c r="AP33"/>
      <c r="AQ33"/>
      <c r="AR33"/>
      <c r="AS33"/>
      <c r="AT33"/>
      <c r="AU33"/>
      <c r="AV33"/>
      <c r="AW33"/>
      <c r="AX33"/>
      <c r="AY33"/>
      <c r="AZ33"/>
      <c r="BA33"/>
      <c r="BB33"/>
      <c r="BC33" s="11"/>
      <c r="BE33" s="11"/>
      <c r="BF33" s="11"/>
      <c r="BG33" s="11"/>
      <c r="BH33" s="11"/>
      <c r="BI33" s="11"/>
      <c r="BJ33" s="11"/>
      <c r="BK33" s="366"/>
      <c r="BO33" s="33" t="s">
        <v>31</v>
      </c>
      <c r="BP33" s="85">
        <v>95</v>
      </c>
      <c r="BS33" s="346"/>
      <c r="BW33" s="33" t="s">
        <v>31</v>
      </c>
      <c r="BX33" s="85">
        <v>302</v>
      </c>
      <c r="CA33" s="346"/>
      <c r="CI33" s="346"/>
      <c r="CM33" s="33" t="s">
        <v>31</v>
      </c>
      <c r="CN33" s="85">
        <v>321</v>
      </c>
      <c r="CQ33" s="346"/>
      <c r="CU33" s="33" t="s">
        <v>31</v>
      </c>
      <c r="CV33" s="85">
        <v>129</v>
      </c>
      <c r="CY33" s="346"/>
      <c r="DC33" s="33" t="s">
        <v>31</v>
      </c>
      <c r="DD33" s="85">
        <v>321</v>
      </c>
      <c r="DG33" s="346"/>
      <c r="DK33" s="33" t="s">
        <v>31</v>
      </c>
      <c r="DL33" s="85">
        <v>68</v>
      </c>
      <c r="DO33" s="346"/>
      <c r="DS33" s="33" t="s">
        <v>31</v>
      </c>
      <c r="DT33" s="85">
        <v>248</v>
      </c>
      <c r="DW33" s="369"/>
      <c r="EA33" s="33" t="s">
        <v>31</v>
      </c>
      <c r="EB33" s="85">
        <v>179</v>
      </c>
      <c r="EE33" s="346"/>
      <c r="EI33" s="33" t="s">
        <v>31</v>
      </c>
      <c r="EJ33" s="85">
        <v>179</v>
      </c>
      <c r="EM33" s="346"/>
      <c r="EQ33" s="33" t="s">
        <v>31</v>
      </c>
      <c r="ER33" s="85">
        <v>314</v>
      </c>
      <c r="EU33" s="346"/>
      <c r="EY33" s="33" t="s">
        <v>31</v>
      </c>
      <c r="EZ33" s="85">
        <v>162</v>
      </c>
      <c r="FC33" s="369"/>
      <c r="FG33" s="33" t="s">
        <v>31</v>
      </c>
      <c r="FH33" s="85">
        <v>255</v>
      </c>
      <c r="FK33" s="346"/>
      <c r="FO33" s="33" t="s">
        <v>31</v>
      </c>
      <c r="FP33" s="85">
        <v>261</v>
      </c>
      <c r="FS33" s="346"/>
      <c r="FW33" s="33" t="s">
        <v>31</v>
      </c>
      <c r="FX33" s="85">
        <v>218</v>
      </c>
      <c r="GA33" s="346"/>
      <c r="GE33" s="33" t="s">
        <v>31</v>
      </c>
      <c r="GF33" s="85">
        <v>153</v>
      </c>
      <c r="GI33" s="346"/>
      <c r="GM33" s="33" t="s">
        <v>31</v>
      </c>
      <c r="GN33" s="85">
        <v>120</v>
      </c>
      <c r="GQ33" s="346"/>
      <c r="GU33" s="33" t="s">
        <v>31</v>
      </c>
      <c r="GV33" s="85">
        <v>305</v>
      </c>
      <c r="GY33" s="346"/>
      <c r="HC33" s="33" t="s">
        <v>31</v>
      </c>
      <c r="HD33" s="85">
        <v>108</v>
      </c>
      <c r="HG33" s="346"/>
      <c r="HK33" s="33" t="s">
        <v>31</v>
      </c>
      <c r="HL33" s="85">
        <v>250</v>
      </c>
      <c r="HO33" s="346"/>
      <c r="HS33" s="33" t="s">
        <v>31</v>
      </c>
      <c r="HT33" s="85">
        <v>316</v>
      </c>
      <c r="HW33" s="346"/>
      <c r="IA33" s="33" t="s">
        <v>31</v>
      </c>
      <c r="IB33" s="85">
        <v>334</v>
      </c>
      <c r="IE33" s="346"/>
      <c r="II33" s="33" t="s">
        <v>31</v>
      </c>
      <c r="IJ33" s="85">
        <v>251</v>
      </c>
      <c r="IM33" s="346"/>
      <c r="IQ33" s="33" t="s">
        <v>31</v>
      </c>
      <c r="IR33" s="85">
        <v>311</v>
      </c>
      <c r="IU33" s="346"/>
      <c r="IY33" s="33" t="s">
        <v>31</v>
      </c>
      <c r="IZ33" s="85">
        <v>210</v>
      </c>
      <c r="JC33" s="346"/>
      <c r="JG33" s="33" t="s">
        <v>31</v>
      </c>
      <c r="JH33" s="85">
        <v>285</v>
      </c>
      <c r="JK33" s="346"/>
      <c r="JO33" s="33" t="s">
        <v>31</v>
      </c>
      <c r="JP33" s="85">
        <v>158</v>
      </c>
      <c r="JS33" s="346"/>
      <c r="JW33" s="33" t="s">
        <v>31</v>
      </c>
      <c r="JX33" s="85">
        <v>174</v>
      </c>
      <c r="KA33" s="346"/>
      <c r="KE33" s="33" t="s">
        <v>31</v>
      </c>
      <c r="KF33" s="85">
        <v>90</v>
      </c>
      <c r="KI33" s="346"/>
      <c r="KM33" s="33" t="s">
        <v>31</v>
      </c>
      <c r="KN33" s="85">
        <v>106</v>
      </c>
      <c r="KQ33" s="346"/>
      <c r="KU33" s="33" t="s">
        <v>31</v>
      </c>
      <c r="KV33" s="85">
        <v>142</v>
      </c>
      <c r="KY33" s="346"/>
      <c r="LC33" s="33" t="s">
        <v>31</v>
      </c>
      <c r="LD33" s="85">
        <v>229</v>
      </c>
      <c r="LG33" s="346"/>
      <c r="LK33" s="33" t="s">
        <v>31</v>
      </c>
      <c r="LL33" s="85">
        <v>207</v>
      </c>
      <c r="LO33" s="346"/>
      <c r="LS33" s="33" t="s">
        <v>31</v>
      </c>
      <c r="LT33" s="85">
        <v>288</v>
      </c>
      <c r="LW33" s="346"/>
      <c r="MA33" s="33" t="s">
        <v>31</v>
      </c>
      <c r="MB33" s="85">
        <v>236</v>
      </c>
      <c r="ME33" s="346"/>
      <c r="MI33" s="33" t="s">
        <v>31</v>
      </c>
      <c r="MJ33" s="85">
        <v>346</v>
      </c>
      <c r="MM33" s="346"/>
      <c r="MQ33" s="33" t="s">
        <v>31</v>
      </c>
      <c r="MR33" s="85">
        <v>224</v>
      </c>
      <c r="MU33" s="346"/>
      <c r="MY33" s="33" t="s">
        <v>31</v>
      </c>
      <c r="MZ33" s="85">
        <v>80</v>
      </c>
      <c r="NC33" s="346"/>
      <c r="NG33" s="33" t="s">
        <v>31</v>
      </c>
      <c r="NH33" s="85">
        <v>219</v>
      </c>
      <c r="NK33" s="346"/>
      <c r="NO33" s="33" t="s">
        <v>31</v>
      </c>
      <c r="NP33" s="85">
        <v>240</v>
      </c>
      <c r="NS33" s="346"/>
      <c r="NW33" s="33" t="s">
        <v>31</v>
      </c>
      <c r="NX33" s="85">
        <v>185</v>
      </c>
      <c r="OA33" s="346"/>
      <c r="OE33" s="33" t="s">
        <v>31</v>
      </c>
      <c r="OF33" s="85">
        <v>106</v>
      </c>
      <c r="OI33" s="346"/>
      <c r="OM33" s="33" t="s">
        <v>31</v>
      </c>
      <c r="ON33" s="85">
        <v>94</v>
      </c>
      <c r="OQ33" s="346"/>
      <c r="OU33" s="33" t="s">
        <v>31</v>
      </c>
      <c r="OV33" s="85">
        <v>254</v>
      </c>
      <c r="OY33" s="346"/>
      <c r="PC33" s="33" t="s">
        <v>31</v>
      </c>
      <c r="PD33" s="85">
        <v>189</v>
      </c>
      <c r="PG33" s="346"/>
      <c r="PK33" s="33" t="s">
        <v>31</v>
      </c>
      <c r="PL33" s="85">
        <v>298</v>
      </c>
      <c r="PO33" s="346"/>
      <c r="PS33" s="33" t="s">
        <v>31</v>
      </c>
      <c r="PT33" s="85">
        <v>207</v>
      </c>
      <c r="PW33" s="346"/>
      <c r="QA33" s="33" t="s">
        <v>31</v>
      </c>
      <c r="QB33" s="85">
        <v>215</v>
      </c>
      <c r="QE33" s="346"/>
      <c r="QI33" s="33" t="s">
        <v>31</v>
      </c>
      <c r="QJ33" s="85">
        <v>156</v>
      </c>
      <c r="QM33" s="346"/>
      <c r="QQ33" s="33" t="s">
        <v>31</v>
      </c>
      <c r="QR33" s="85">
        <v>219</v>
      </c>
      <c r="QU33" s="346"/>
      <c r="QY33" s="33" t="s">
        <v>31</v>
      </c>
      <c r="QZ33" s="85">
        <v>84</v>
      </c>
      <c r="RC33" s="346"/>
      <c r="RG33" s="33" t="s">
        <v>31</v>
      </c>
      <c r="RH33" s="85">
        <v>199</v>
      </c>
      <c r="RK33" s="346"/>
      <c r="RO33" s="33" t="s">
        <v>31</v>
      </c>
      <c r="RP33" s="85">
        <v>231</v>
      </c>
      <c r="RS33" s="346"/>
      <c r="RW33" s="33" t="s">
        <v>31</v>
      </c>
      <c r="RX33" s="85">
        <v>196</v>
      </c>
      <c r="SA33" s="346"/>
      <c r="SE33" s="33" t="s">
        <v>31</v>
      </c>
      <c r="SF33" s="85">
        <v>92</v>
      </c>
      <c r="SI33" s="346"/>
      <c r="SM33" s="33" t="s">
        <v>31</v>
      </c>
      <c r="SN33" s="85">
        <v>328</v>
      </c>
      <c r="SQ33" s="346"/>
      <c r="SU33" s="33" t="s">
        <v>31</v>
      </c>
      <c r="SV33" s="85">
        <v>307</v>
      </c>
      <c r="SY33" s="346"/>
      <c r="TC33" s="33" t="s">
        <v>31</v>
      </c>
      <c r="TD33" s="85">
        <v>81</v>
      </c>
      <c r="TG33" s="346"/>
      <c r="TK33" s="33" t="s">
        <v>31</v>
      </c>
      <c r="TL33" s="85">
        <v>254</v>
      </c>
      <c r="TO33" s="346"/>
      <c r="TS33" s="33" t="s">
        <v>31</v>
      </c>
      <c r="TT33" s="85">
        <v>302</v>
      </c>
      <c r="TW33" s="346"/>
      <c r="UA33" s="33" t="s">
        <v>31</v>
      </c>
      <c r="UB33" s="85">
        <v>79</v>
      </c>
      <c r="UE33" s="346"/>
      <c r="UI33" s="33" t="s">
        <v>31</v>
      </c>
      <c r="UJ33" s="85">
        <v>65</v>
      </c>
      <c r="UM33" s="346"/>
      <c r="UQ33" s="33" t="s">
        <v>31</v>
      </c>
      <c r="UR33" s="85">
        <v>291</v>
      </c>
      <c r="UU33" s="346"/>
      <c r="UY33" s="33" t="s">
        <v>31</v>
      </c>
      <c r="UZ33" s="85">
        <v>71</v>
      </c>
      <c r="VC33" s="346"/>
      <c r="VG33" s="33" t="s">
        <v>31</v>
      </c>
      <c r="VH33" s="85">
        <v>291</v>
      </c>
      <c r="VK33" s="346"/>
      <c r="VO33" s="33" t="s">
        <v>31</v>
      </c>
      <c r="VP33" s="85">
        <v>163</v>
      </c>
      <c r="VS33" s="346"/>
    </row>
    <row r="34" spans="3:591" ht="13.15" customHeight="1" x14ac:dyDescent="0.4">
      <c r="C34" s="1"/>
      <c r="D34" s="1"/>
      <c r="E34" s="1"/>
      <c r="F34" s="19" t="s">
        <v>73</v>
      </c>
      <c r="G34" s="20" t="s">
        <v>104</v>
      </c>
      <c r="H34" s="20" t="s">
        <v>496</v>
      </c>
      <c r="I34" s="1"/>
      <c r="J34" s="1"/>
      <c r="K34" s="1"/>
      <c r="L34" s="1"/>
      <c r="M34" s="1"/>
      <c r="O34" s="346"/>
      <c r="Q34" s="1"/>
      <c r="R34" s="1"/>
      <c r="S34" s="1"/>
      <c r="T34" s="19" t="s">
        <v>73</v>
      </c>
      <c r="U34" s="20" t="s">
        <v>104</v>
      </c>
      <c r="V34" s="20" t="s">
        <v>496</v>
      </c>
      <c r="W34" s="1"/>
      <c r="X34" s="1"/>
      <c r="Y34" s="1"/>
      <c r="Z34" s="1"/>
      <c r="AA34" s="1"/>
      <c r="AC34" s="346"/>
      <c r="AE34" s="30" t="str">
        <f ca="1"/>
        <v>BMW 420d Gran Coupé A-Pillar RH LINE 2</v>
      </c>
      <c r="AF34" s="31">
        <f t="shared" ca="1" si="0"/>
        <v>1</v>
      </c>
      <c r="AH34" s="366"/>
      <c r="AJ34" s="11"/>
      <c r="AM34"/>
      <c r="AN34"/>
      <c r="AO34"/>
      <c r="AP34" s="334" t="s">
        <v>360</v>
      </c>
      <c r="AQ34" s="335"/>
      <c r="AR34" s="335"/>
      <c r="AS34" s="335"/>
      <c r="AT34" s="336"/>
      <c r="AU34" s="334" t="s">
        <v>361</v>
      </c>
      <c r="AV34" s="335"/>
      <c r="AW34" s="335"/>
      <c r="AX34" s="335"/>
      <c r="AY34" s="336"/>
      <c r="AZ34" s="334" t="s">
        <v>362</v>
      </c>
      <c r="BA34" s="335"/>
      <c r="BB34" s="335"/>
      <c r="BC34" s="335"/>
      <c r="BD34" s="336"/>
      <c r="BE34" s="11"/>
      <c r="BF34" s="11"/>
      <c r="BG34" s="11"/>
      <c r="BH34" s="11"/>
      <c r="BI34" s="11"/>
      <c r="BJ34" s="11"/>
      <c r="BK34" s="366"/>
      <c r="BQ34"/>
      <c r="BS34" s="346"/>
      <c r="BY34"/>
      <c r="CA34" s="346"/>
      <c r="CF34"/>
      <c r="CG34"/>
      <c r="CI34" s="346"/>
      <c r="CM34" s="34"/>
      <c r="CN34"/>
      <c r="CO34"/>
      <c r="CQ34" s="346"/>
      <c r="CU34" s="34"/>
      <c r="CV34"/>
      <c r="CW34"/>
      <c r="CY34" s="346"/>
      <c r="DE34"/>
      <c r="DG34" s="346"/>
      <c r="DK34" s="34"/>
      <c r="DL34"/>
      <c r="DM34"/>
      <c r="DO34" s="346"/>
      <c r="DS34" s="34"/>
      <c r="DT34"/>
      <c r="DU34"/>
      <c r="DW34" s="369"/>
      <c r="EA34" s="34"/>
      <c r="EB34"/>
      <c r="EC34"/>
      <c r="EE34" s="346"/>
      <c r="EI34" s="34"/>
      <c r="EJ34"/>
      <c r="EK34"/>
      <c r="EM34" s="346"/>
      <c r="EQ34" s="34"/>
      <c r="ER34"/>
      <c r="ES34"/>
      <c r="EU34" s="346"/>
      <c r="EY34" s="34"/>
      <c r="EZ34"/>
      <c r="FA34"/>
      <c r="FC34" s="369"/>
      <c r="FG34" s="34"/>
      <c r="FH34"/>
      <c r="FI34"/>
      <c r="FK34" s="346"/>
      <c r="FO34" s="34"/>
      <c r="FP34"/>
      <c r="FQ34"/>
      <c r="FS34" s="346"/>
      <c r="FW34" s="34"/>
      <c r="FX34"/>
      <c r="FY34"/>
      <c r="GA34" s="346"/>
      <c r="GE34" s="34"/>
      <c r="GF34"/>
      <c r="GG34"/>
      <c r="GI34" s="346"/>
      <c r="GM34" s="34"/>
      <c r="GN34"/>
      <c r="GO34"/>
      <c r="GQ34" s="346"/>
      <c r="GU34" s="34"/>
      <c r="GV34"/>
      <c r="GW34"/>
      <c r="GY34" s="346"/>
      <c r="HC34" s="34"/>
      <c r="HD34"/>
      <c r="HE34"/>
      <c r="HG34" s="346"/>
      <c r="HK34" s="34"/>
      <c r="HL34"/>
      <c r="HM34"/>
      <c r="HO34" s="346"/>
      <c r="HS34" s="34"/>
      <c r="HT34"/>
      <c r="HU34"/>
      <c r="HW34" s="346"/>
      <c r="IA34" s="34"/>
      <c r="IB34"/>
      <c r="IC34"/>
      <c r="IE34" s="346"/>
      <c r="II34" s="34"/>
      <c r="IJ34"/>
      <c r="IK34"/>
      <c r="IM34" s="346"/>
      <c r="IQ34" s="34"/>
      <c r="IR34"/>
      <c r="IS34"/>
      <c r="IU34" s="346"/>
      <c r="IY34" s="34"/>
      <c r="IZ34"/>
      <c r="JA34"/>
      <c r="JC34" s="346"/>
      <c r="JG34" s="34"/>
      <c r="JH34"/>
      <c r="JI34"/>
      <c r="JK34" s="346"/>
      <c r="JO34" s="34"/>
      <c r="JP34"/>
      <c r="JQ34"/>
      <c r="JS34" s="346"/>
      <c r="JW34" s="34"/>
      <c r="JX34"/>
      <c r="JY34"/>
      <c r="KA34" s="346"/>
      <c r="KE34" s="34"/>
      <c r="KF34"/>
      <c r="KG34"/>
      <c r="KI34" s="346"/>
      <c r="KM34" s="34"/>
      <c r="KN34"/>
      <c r="KO34"/>
      <c r="KQ34" s="346"/>
      <c r="KU34" s="34"/>
      <c r="KV34"/>
      <c r="KW34"/>
      <c r="KY34" s="346"/>
      <c r="LC34" s="34"/>
      <c r="LD34"/>
      <c r="LE34"/>
      <c r="LG34" s="346"/>
      <c r="LK34" s="34"/>
      <c r="LL34"/>
      <c r="LM34"/>
      <c r="LO34" s="346"/>
      <c r="LS34" s="34"/>
      <c r="LT34"/>
      <c r="LU34"/>
      <c r="LW34" s="346"/>
      <c r="MA34" s="34"/>
      <c r="MB34"/>
      <c r="MC34"/>
      <c r="ME34" s="346"/>
      <c r="MI34" s="34"/>
      <c r="MJ34"/>
      <c r="MK34"/>
      <c r="MM34" s="346"/>
      <c r="MQ34" s="34"/>
      <c r="MR34"/>
      <c r="MS34"/>
      <c r="MU34" s="346"/>
      <c r="MY34" s="34"/>
      <c r="MZ34"/>
      <c r="NA34"/>
      <c r="NC34" s="346"/>
      <c r="NG34" s="34"/>
      <c r="NH34"/>
      <c r="NI34"/>
      <c r="NK34" s="346"/>
      <c r="NO34" s="34"/>
      <c r="NP34"/>
      <c r="NQ34"/>
      <c r="NS34" s="346"/>
      <c r="NW34" s="34"/>
      <c r="NX34"/>
      <c r="NY34"/>
      <c r="OA34" s="346"/>
      <c r="OE34" s="34"/>
      <c r="OF34"/>
      <c r="OG34"/>
      <c r="OI34" s="346"/>
      <c r="OM34" s="34"/>
      <c r="ON34"/>
      <c r="OO34"/>
      <c r="OQ34" s="346"/>
      <c r="OU34" s="34"/>
      <c r="OV34"/>
      <c r="OW34"/>
      <c r="OY34" s="346"/>
      <c r="PC34" s="34"/>
      <c r="PD34"/>
      <c r="PE34"/>
      <c r="PG34" s="346"/>
      <c r="PK34" s="34"/>
      <c r="PL34"/>
      <c r="PM34"/>
      <c r="PO34" s="346"/>
      <c r="PS34" s="34"/>
      <c r="PT34"/>
      <c r="PU34"/>
      <c r="PW34" s="346"/>
      <c r="QA34" s="34"/>
      <c r="QB34"/>
      <c r="QC34"/>
      <c r="QE34" s="346"/>
      <c r="QI34" s="34"/>
      <c r="QJ34"/>
      <c r="QK34"/>
      <c r="QM34" s="346"/>
      <c r="QQ34" s="34"/>
      <c r="QR34"/>
      <c r="QS34"/>
      <c r="QU34" s="346"/>
      <c r="QY34" s="34"/>
      <c r="QZ34"/>
      <c r="RA34"/>
      <c r="RC34" s="346"/>
      <c r="RG34" s="34"/>
      <c r="RH34"/>
      <c r="RI34"/>
      <c r="RK34" s="346"/>
      <c r="RO34" s="34"/>
      <c r="RP34"/>
      <c r="RQ34"/>
      <c r="RS34" s="346"/>
      <c r="RW34" s="34"/>
      <c r="RX34"/>
      <c r="RY34"/>
      <c r="SA34" s="346"/>
      <c r="SE34" s="34"/>
      <c r="SF34"/>
      <c r="SG34"/>
      <c r="SI34" s="346"/>
      <c r="SM34" s="34"/>
      <c r="SN34"/>
      <c r="SO34"/>
      <c r="SQ34" s="346"/>
      <c r="SU34" s="34"/>
      <c r="SV34"/>
      <c r="SW34"/>
      <c r="SY34" s="346"/>
      <c r="TC34" s="34"/>
      <c r="TD34"/>
      <c r="TE34"/>
      <c r="TG34" s="346"/>
      <c r="TK34" s="34"/>
      <c r="TL34"/>
      <c r="TM34"/>
      <c r="TO34" s="346"/>
      <c r="TS34" s="34"/>
      <c r="TT34"/>
      <c r="TU34"/>
      <c r="TW34" s="346"/>
      <c r="UA34" s="34"/>
      <c r="UB34"/>
      <c r="UC34"/>
      <c r="UE34" s="346"/>
      <c r="UI34" s="34"/>
      <c r="UJ34"/>
      <c r="UK34"/>
      <c r="UM34" s="346"/>
      <c r="UQ34" s="34"/>
      <c r="UR34"/>
      <c r="US34"/>
      <c r="UU34" s="346"/>
      <c r="UY34" s="34"/>
      <c r="UZ34"/>
      <c r="VA34"/>
      <c r="VC34" s="346"/>
      <c r="VG34" s="34"/>
      <c r="VH34"/>
      <c r="VI34"/>
      <c r="VK34" s="346"/>
      <c r="VO34" s="34"/>
      <c r="VP34"/>
      <c r="VQ34"/>
      <c r="VS34" s="346"/>
    </row>
    <row r="35" spans="3:591" ht="13.5" customHeight="1" thickBot="1" x14ac:dyDescent="0.45">
      <c r="C35" s="1"/>
      <c r="D35" s="1"/>
      <c r="E35" s="1"/>
      <c r="F35" s="19" t="s">
        <v>74</v>
      </c>
      <c r="G35" s="20" t="s">
        <v>105</v>
      </c>
      <c r="H35" s="20" t="s">
        <v>497</v>
      </c>
      <c r="I35" s="1"/>
      <c r="J35" s="1"/>
      <c r="K35" s="1"/>
      <c r="L35" s="1"/>
      <c r="M35" s="1"/>
      <c r="O35" s="346"/>
      <c r="Q35" s="1"/>
      <c r="R35" s="1"/>
      <c r="S35" s="1"/>
      <c r="T35" s="19" t="s">
        <v>74</v>
      </c>
      <c r="U35" s="20" t="s">
        <v>105</v>
      </c>
      <c r="V35" s="20" t="s">
        <v>497</v>
      </c>
      <c r="W35" s="1"/>
      <c r="X35" s="1"/>
      <c r="Y35" s="1"/>
      <c r="Z35" s="1"/>
      <c r="AA35" s="1"/>
      <c r="AC35" s="346"/>
      <c r="AE35" s="30" t="str">
        <f ca="1"/>
        <v>BMW M550i xDrive A-Pillar LH LINE 2</v>
      </c>
      <c r="AF35" s="31">
        <f t="shared" ca="1" si="0"/>
        <v>1</v>
      </c>
      <c r="AH35" s="366"/>
      <c r="AJ35" s="11"/>
      <c r="AM35"/>
      <c r="AN35"/>
      <c r="AO35"/>
      <c r="AP35" s="337"/>
      <c r="AQ35" s="338"/>
      <c r="AR35" s="338"/>
      <c r="AS35" s="338"/>
      <c r="AT35" s="339"/>
      <c r="AU35" s="337"/>
      <c r="AV35" s="338"/>
      <c r="AW35" s="338"/>
      <c r="AX35" s="338"/>
      <c r="AY35" s="339"/>
      <c r="AZ35" s="337"/>
      <c r="BA35" s="338"/>
      <c r="BB35" s="338"/>
      <c r="BC35" s="338"/>
      <c r="BD35" s="339"/>
      <c r="BE35" s="11"/>
      <c r="BF35" s="11"/>
      <c r="BG35" s="11"/>
      <c r="BH35" s="11"/>
      <c r="BI35" s="11"/>
      <c r="BJ35" s="11"/>
      <c r="BK35" s="366"/>
      <c r="BS35" s="346"/>
      <c r="CA35" s="346"/>
      <c r="CI35" s="346"/>
      <c r="CQ35" s="346"/>
      <c r="CY35" s="346"/>
      <c r="DG35" s="346"/>
      <c r="DO35" s="346"/>
      <c r="DW35" s="369"/>
      <c r="EE35" s="346"/>
      <c r="EM35" s="346"/>
      <c r="EU35" s="346"/>
      <c r="FC35" s="369"/>
      <c r="FK35" s="346"/>
      <c r="FS35" s="346"/>
      <c r="GA35" s="346"/>
      <c r="GI35" s="346"/>
      <c r="GQ35" s="346"/>
      <c r="GY35" s="346"/>
      <c r="HG35" s="346"/>
      <c r="HO35" s="346"/>
      <c r="HW35" s="346"/>
      <c r="IE35" s="346"/>
      <c r="IM35" s="346"/>
      <c r="IU35" s="346"/>
      <c r="JC35" s="346"/>
      <c r="JK35" s="346"/>
      <c r="JS35" s="346"/>
      <c r="KA35" s="346"/>
      <c r="KI35" s="346"/>
      <c r="KQ35" s="346"/>
      <c r="KY35" s="346"/>
      <c r="LG35" s="346"/>
      <c r="LO35" s="346"/>
      <c r="LW35" s="346"/>
      <c r="ME35" s="346"/>
      <c r="MM35" s="346"/>
      <c r="MU35" s="346"/>
      <c r="NC35" s="346"/>
      <c r="NK35" s="346"/>
      <c r="NS35" s="346"/>
      <c r="OA35" s="346"/>
      <c r="OI35" s="346"/>
      <c r="OQ35" s="346"/>
      <c r="OY35" s="346"/>
      <c r="PG35" s="346"/>
      <c r="PO35" s="346"/>
      <c r="PW35" s="346"/>
      <c r="QE35" s="346"/>
      <c r="QM35" s="346"/>
      <c r="QU35" s="346"/>
      <c r="RC35" s="346"/>
      <c r="RK35" s="346"/>
      <c r="RS35" s="346"/>
      <c r="SA35" s="346"/>
      <c r="SI35" s="346"/>
      <c r="SQ35" s="346"/>
      <c r="SY35" s="346"/>
      <c r="TG35" s="346"/>
      <c r="TO35" s="346"/>
      <c r="TW35" s="346"/>
      <c r="UE35" s="346"/>
      <c r="UM35" s="346"/>
      <c r="UU35" s="346"/>
      <c r="VC35" s="346"/>
      <c r="VK35" s="346"/>
      <c r="VS35" s="346"/>
    </row>
    <row r="36" spans="3:591" x14ac:dyDescent="0.4">
      <c r="C36" s="1"/>
      <c r="D36" s="1"/>
      <c r="E36" s="1"/>
      <c r="F36" s="19" t="s">
        <v>75</v>
      </c>
      <c r="G36" s="20" t="s">
        <v>106</v>
      </c>
      <c r="H36" s="20" t="s">
        <v>498</v>
      </c>
      <c r="I36" s="1"/>
      <c r="J36" s="1"/>
      <c r="K36" s="1"/>
      <c r="L36" s="1"/>
      <c r="M36" s="1"/>
      <c r="O36" s="346"/>
      <c r="Q36" s="1"/>
      <c r="R36" s="1"/>
      <c r="S36" s="1"/>
      <c r="T36" s="19" t="s">
        <v>75</v>
      </c>
      <c r="U36" s="20" t="s">
        <v>106</v>
      </c>
      <c r="V36" s="20" t="s">
        <v>498</v>
      </c>
      <c r="W36" s="1"/>
      <c r="X36" s="1"/>
      <c r="Y36" s="1"/>
      <c r="Z36" s="1"/>
      <c r="AA36" s="1"/>
      <c r="AC36" s="346"/>
      <c r="AE36" s="30" t="str">
        <f ca="1"/>
        <v>BMW M550i xDrive A-Pillar RH LINE 2</v>
      </c>
      <c r="AF36" s="31">
        <f t="shared" ca="1" si="0"/>
        <v>1</v>
      </c>
      <c r="AH36" s="366"/>
      <c r="AJ36" s="11"/>
      <c r="AM36"/>
      <c r="AN36"/>
      <c r="AO36"/>
      <c r="AP36"/>
      <c r="AQ36"/>
      <c r="AR36"/>
      <c r="AS36"/>
      <c r="AT36"/>
      <c r="AU36"/>
      <c r="AV36" s="12"/>
      <c r="AW36" s="12"/>
      <c r="AX36" s="12"/>
      <c r="AY36" s="12"/>
      <c r="AZ36" s="12"/>
      <c r="BA36" s="12"/>
      <c r="BB36" s="12"/>
      <c r="BC36" s="11"/>
      <c r="BE36" s="11"/>
      <c r="BF36" s="11"/>
      <c r="BG36" s="11"/>
      <c r="BH36" s="11"/>
      <c r="BI36" s="11"/>
      <c r="BJ36" s="11"/>
      <c r="BK36" s="366"/>
      <c r="BO36" s="353" t="str">
        <f>SUBSTITUTE(LOWER(BS$1)," ","_") &amp; "_"</f>
        <v>mercedez_gle_53_rear_axle_line_2_</v>
      </c>
      <c r="BP36" s="353"/>
      <c r="BS36" s="346"/>
      <c r="BW36" s="353" t="str">
        <f>SUBSTITUTE(LOWER(CA$1)," ","_") &amp; "_"</f>
        <v>mercedez_gle_580_rear_axle_line_2_</v>
      </c>
      <c r="BX36" s="353"/>
      <c r="CA36" s="346"/>
      <c r="CI36" s="346"/>
      <c r="CM36" s="353" t="str">
        <f>SUBSTITUTE(LOWER(CQ$1)," ","_") &amp; "_"</f>
        <v>mercedez_gle_53_front_axle_line_1_</v>
      </c>
      <c r="CN36" s="353"/>
      <c r="CQ36" s="346"/>
      <c r="CU36" s="353" t="str">
        <f>SUBSTITUTE(LOWER(CY$1)," ","_") &amp; "_"</f>
        <v>mercedez_gle_580_front_axle_line_1_</v>
      </c>
      <c r="CV36" s="353"/>
      <c r="CY36" s="346"/>
      <c r="DC36" s="353" t="str">
        <f>SUBSTITUTE(LOWER(DG$1)," ","_") &amp; "_"</f>
        <v>mercedez_le_300_coupé_front_axle_line_1_</v>
      </c>
      <c r="DD36" s="353"/>
      <c r="DG36" s="346"/>
      <c r="DK36" s="353" t="str">
        <f>SUBSTITUTE(LOWER(DO$1)," ","_") &amp; "_"</f>
        <v>mercedez_gle_53_rear_bumper_line_1_</v>
      </c>
      <c r="DL36" s="353"/>
      <c r="DO36" s="346"/>
      <c r="DS36" s="353" t="str">
        <f>SUBSTITUTE(LOWER(DW$1)," ","_") &amp; "_"</f>
        <v>mercedez_gle_580_rear_bumper_line_1_</v>
      </c>
      <c r="DT36" s="353"/>
      <c r="DW36" s="369"/>
      <c r="EA36" s="353" t="str">
        <f>SUBSTITUTE(LOWER(EE$1)," ","_") &amp; "_"</f>
        <v>mercedez_le_300_coupé_rear_bumper_line_3_</v>
      </c>
      <c r="EB36" s="353"/>
      <c r="EE36" s="346"/>
      <c r="EI36" s="353" t="str">
        <f>SUBSTITUTE(LOWER(EM$1)," ","_") &amp; "_"</f>
        <v>bmw_x7_rear_bumper_line_1_</v>
      </c>
      <c r="EJ36" s="353"/>
      <c r="EM36" s="346"/>
      <c r="EQ36" s="353" t="str">
        <f>SUBSTITUTE(LOWER(EU$1)," ","_") &amp; "_"</f>
        <v>bmw_420d_gran_coupé_rear_bumper_line_3_</v>
      </c>
      <c r="ER36" s="353"/>
      <c r="EU36" s="346"/>
      <c r="EY36" s="353" t="str">
        <f>SUBSTITUTE(LOWER(FC$1)," ","_") &amp; "_"</f>
        <v>bmw_m550i_xdrive_rear_bumper_line_3_</v>
      </c>
      <c r="EZ36" s="353"/>
      <c r="FC36" s="369"/>
      <c r="FG36" s="353" t="str">
        <f>SUBSTITUTE(LOWER(FK$1)," ","_") &amp; "_"</f>
        <v>mercedez_gle_53_front_bumper_line_2_</v>
      </c>
      <c r="FH36" s="353"/>
      <c r="FK36" s="346"/>
      <c r="FO36" s="353" t="str">
        <f>SUBSTITUTE(LOWER(FS$1)," ","_") &amp; "_"</f>
        <v>mercedez_gle_580_front_bumper_line_2_</v>
      </c>
      <c r="FP36" s="353"/>
      <c r="FS36" s="346"/>
      <c r="FW36" s="353" t="str">
        <f>SUBSTITUTE(LOWER(GA$1)," ","_") &amp; "_"</f>
        <v>mercedez_le_300_coupé_front_bumper_line_4_</v>
      </c>
      <c r="FX36" s="353"/>
      <c r="GA36" s="346"/>
      <c r="GE36" s="353" t="str">
        <f>SUBSTITUTE(LOWER(GI$1)," ","_") &amp; "_"</f>
        <v>bmw_x7_front_bumper_line_2_</v>
      </c>
      <c r="GF36" s="353"/>
      <c r="GI36" s="346"/>
      <c r="GM36" s="353" t="str">
        <f>SUBSTITUTE(LOWER(GQ$1)," ","_") &amp; "_"</f>
        <v>bmw_420d_gran_coupé_front_bumper_line_4_</v>
      </c>
      <c r="GN36" s="353"/>
      <c r="GQ36" s="346"/>
      <c r="GU36" s="353" t="str">
        <f>SUBSTITUTE(LOWER(GY$1)," ","_") &amp; "_"</f>
        <v>bmw_m550i_xdrive_front_bumper_line_4_</v>
      </c>
      <c r="GV36" s="353"/>
      <c r="GY36" s="346"/>
      <c r="HC36" s="353" t="str">
        <f>SUBSTITUTE(LOWER(HG$1)," ","_") &amp; "_"</f>
        <v>bmw_x7_b-pillar_lh_line_3_</v>
      </c>
      <c r="HD36" s="353"/>
      <c r="HG36" s="346"/>
      <c r="HK36" s="353" t="str">
        <f>SUBSTITUTE(LOWER(HO$1)," ","_") &amp; "_"</f>
        <v>bmw_x7_b-pillar_rh_line_3_</v>
      </c>
      <c r="HL36" s="353"/>
      <c r="HO36" s="346"/>
      <c r="HS36" s="353" t="str">
        <f>SUBSTITUTE(LOWER(HW$1)," ","_") &amp; "_"</f>
        <v>bmw_420d_gran_coupé_b-pillar_lh_line_3_</v>
      </c>
      <c r="HT36" s="353"/>
      <c r="HW36" s="346"/>
      <c r="IA36" s="353" t="str">
        <f>SUBSTITUTE(LOWER(IE$1)," ","_") &amp; "_"</f>
        <v>bmw_420d_gran_coupé_b-pillar_rh_line_3_</v>
      </c>
      <c r="IB36" s="353"/>
      <c r="IE36" s="346"/>
      <c r="II36" s="353" t="str">
        <f>SUBSTITUTE(LOWER(IM$1)," ","_") &amp; "_"</f>
        <v>bmw_m550i_xdrive_b-pillar_lh_line_3_</v>
      </c>
      <c r="IJ36" s="353"/>
      <c r="IM36" s="346"/>
      <c r="IQ36" s="353" t="str">
        <f>SUBSTITUTE(LOWER(IU$1)," ","_") &amp; "_"</f>
        <v>bmw_m550i_xdrive_b-pillar_rh_line_3_</v>
      </c>
      <c r="IR36" s="353"/>
      <c r="IU36" s="346"/>
      <c r="IY36" s="353" t="str">
        <f>SUBSTITUTE(LOWER(JC$1)," ","_") &amp; "_"</f>
        <v>bmw_x7_a-pillar_lh_line_2_</v>
      </c>
      <c r="IZ36" s="353"/>
      <c r="JC36" s="346"/>
      <c r="JG36" s="353" t="str">
        <f>SUBSTITUTE(LOWER(JK$1)," ","_") &amp; "_"</f>
        <v>bmw_x7_a-pillar_rh_line_2_</v>
      </c>
      <c r="JH36" s="353"/>
      <c r="JK36" s="346"/>
      <c r="JO36" s="353" t="str">
        <f>SUBSTITUTE(LOWER(JS$1)," ","_") &amp; "_"</f>
        <v>bmw_420d_gran_coupé_a-pillar_lh_line_2_</v>
      </c>
      <c r="JP36" s="353"/>
      <c r="JS36" s="346"/>
      <c r="JW36" s="353" t="str">
        <f>SUBSTITUTE(LOWER(KA$1)," ","_") &amp; "_"</f>
        <v>bmw_420d_gran_coupé_a-pillar_rh_line_2_</v>
      </c>
      <c r="JX36" s="353"/>
      <c r="KA36" s="346"/>
      <c r="KE36" s="353" t="str">
        <f>SUBSTITUTE(LOWER(KI$1)," ","_") &amp; "_"</f>
        <v>bmw_m550i_xdrive_a-pillar_lh_line_2_</v>
      </c>
      <c r="KF36" s="353"/>
      <c r="KI36" s="346"/>
      <c r="KM36" s="353" t="str">
        <f>SUBSTITUTE(LOWER(KQ$1)," ","_") &amp; "_"</f>
        <v>bmw_m550i_xdrive_a-pillar_rh_line_2_</v>
      </c>
      <c r="KN36" s="353"/>
      <c r="KQ36" s="346"/>
      <c r="KU36" s="353" t="str">
        <f>SUBSTITUTE(LOWER(KY$1)," ","_") &amp; "_"</f>
        <v>mercedez_gle_53_c-pillar_lh_line_2_</v>
      </c>
      <c r="KV36" s="353"/>
      <c r="KY36" s="346"/>
      <c r="LC36" s="353" t="str">
        <f>SUBSTITUTE(LOWER(LG$1)," ","_") &amp; "_"</f>
        <v>mercedez_gle_53_c-pillar_rh_line_1_</v>
      </c>
      <c r="LD36" s="353"/>
      <c r="LG36" s="346"/>
      <c r="LK36" s="353" t="str">
        <f>SUBSTITUTE(LOWER(LO$1)," ","_") &amp; "_"</f>
        <v>mercedez_gle_580_c-pillar_lh_line_2_</v>
      </c>
      <c r="LL36" s="353"/>
      <c r="LO36" s="346"/>
      <c r="LS36" s="353" t="str">
        <f>SUBSTITUTE(LOWER(LW$1)," ","_") &amp; "_"</f>
        <v>mercedez_gle_580_c-pillar_rh_line_1_</v>
      </c>
      <c r="LT36" s="353"/>
      <c r="LW36" s="346"/>
      <c r="MA36" s="353" t="str">
        <f>SUBSTITUTE(LOWER(ME$1)," ","_") &amp; "_"</f>
        <v>mercedez_le_300_coupé_c-pillar_lh_line_2_</v>
      </c>
      <c r="MB36" s="353"/>
      <c r="ME36" s="346"/>
      <c r="MI36" s="353" t="str">
        <f>SUBSTITUTE(LOWER(MM$1)," ","_") &amp; "_"</f>
        <v>mercedez_le_300_coupé_c-pillar_rh_line_1_</v>
      </c>
      <c r="MJ36" s="353"/>
      <c r="MM36" s="346"/>
      <c r="MQ36" s="353" t="str">
        <f>SUBSTITUTE(LOWER(MU$1)," ","_") &amp; "_"</f>
        <v>bmw_x7_c-pillar_lh_line_2_</v>
      </c>
      <c r="MR36" s="353"/>
      <c r="MU36" s="346"/>
      <c r="MY36" s="353" t="str">
        <f>SUBSTITUTE(LOWER(NC$1)," ","_") &amp; "_"</f>
        <v>bmw_x7_c-pillar_rh_line_1_</v>
      </c>
      <c r="MZ36" s="353"/>
      <c r="NC36" s="346"/>
      <c r="NG36" s="353" t="str">
        <f>SUBSTITUTE(LOWER(NK$1)," ","_") &amp; "_"</f>
        <v>bmw_420d_gran_coupé_c-pillar_lh_line_2_</v>
      </c>
      <c r="NH36" s="353"/>
      <c r="NK36" s="346"/>
      <c r="NO36" s="353" t="str">
        <f>SUBSTITUTE(LOWER(NS$1)," ","_") &amp; "_"</f>
        <v>bmw_420d_gran_coupé_c-pillar_rh_line_1_</v>
      </c>
      <c r="NP36" s="353"/>
      <c r="NS36" s="346"/>
      <c r="NW36" s="353" t="str">
        <f>SUBSTITUTE(LOWER(OA$1)," ","_") &amp; "_"</f>
        <v>bmw_m550i_xdrive_c-pillar_lh_line_2_</v>
      </c>
      <c r="NX36" s="353"/>
      <c r="OA36" s="346"/>
      <c r="OE36" s="353" t="str">
        <f>SUBSTITUTE(LOWER(OI$1)," ","_") &amp; "_"</f>
        <v>bmw_m550i_xdrive_c-pillar_rh_line_1_</v>
      </c>
      <c r="OF36" s="353"/>
      <c r="OI36" s="346"/>
      <c r="OM36" s="353" t="str">
        <f>SUBSTITUTE(LOWER(OQ$1)," ","_") &amp; "_"</f>
        <v>mercedez_gle_53_ip_lhd_line_1_</v>
      </c>
      <c r="ON36" s="353"/>
      <c r="OQ36" s="346"/>
      <c r="OU36" s="353" t="str">
        <f>SUBSTITUTE(LOWER(OY$1)," ","_") &amp; "_"</f>
        <v>mercedez_gle_53_ip_rhd_line_2_</v>
      </c>
      <c r="OV36" s="353"/>
      <c r="OY36" s="346"/>
      <c r="PC36" s="353" t="str">
        <f>SUBSTITUTE(LOWER(PG$1)," ","_") &amp; "_"</f>
        <v>mercedez_gle_580_ip_lhd_line_1_</v>
      </c>
      <c r="PD36" s="353"/>
      <c r="PG36" s="346"/>
      <c r="PK36" s="353" t="str">
        <f>SUBSTITUTE(LOWER(PO$1)," ","_") &amp; "_"</f>
        <v>mercedez_gle_580_ip_rhd_line_2_</v>
      </c>
      <c r="PL36" s="353"/>
      <c r="PO36" s="346"/>
      <c r="PS36" s="353" t="str">
        <f>SUBSTITUTE(LOWER(PW$1)," ","_") &amp; "_"</f>
        <v>mercedez_le_300_coupé_ip_lhd_line_1_</v>
      </c>
      <c r="PT36" s="353"/>
      <c r="PW36" s="346"/>
      <c r="QA36" s="353" t="str">
        <f>SUBSTITUTE(LOWER(QE$1)," ","_") &amp; "_"</f>
        <v>mercedez_le_300_coupé_ip_rhd_line_2_</v>
      </c>
      <c r="QB36" s="353"/>
      <c r="QE36" s="346"/>
      <c r="QI36" s="353" t="str">
        <f>SUBSTITUTE(LOWER(QM$1)," ","_") &amp; "_"</f>
        <v>bmw_x7_ip_lhd_line_2_</v>
      </c>
      <c r="QJ36" s="353"/>
      <c r="QM36" s="346"/>
      <c r="QQ36" s="353" t="str">
        <f>SUBSTITUTE(LOWER(QU$1)," ","_") &amp; "_"</f>
        <v>bmw_x7_ip_rhd_line_1_</v>
      </c>
      <c r="QR36" s="353"/>
      <c r="QU36" s="346"/>
      <c r="QY36" s="353" t="str">
        <f>SUBSTITUTE(LOWER(RC$1)," ","_") &amp; "_"</f>
        <v>bmw_420d_gran_coupé_ip_lhd_line_2_</v>
      </c>
      <c r="QZ36" s="353"/>
      <c r="RC36" s="346"/>
      <c r="RG36" s="353" t="str">
        <f>SUBSTITUTE(LOWER(RK$1)," ","_") &amp; "_"</f>
        <v>bmw_420d_gran_coupé_ip_rhd_line_1_</v>
      </c>
      <c r="RH36" s="353"/>
      <c r="RK36" s="346"/>
      <c r="RO36" s="353" t="str">
        <f>SUBSTITUTE(LOWER(RS$1)," ","_") &amp; "_"</f>
        <v>bmw_m550i_xdrive_ip_lhd_line_2_</v>
      </c>
      <c r="RP36" s="353"/>
      <c r="RS36" s="346"/>
      <c r="RW36" s="353" t="str">
        <f>SUBSTITUTE(LOWER(SA$1)," ","_") &amp; "_"</f>
        <v>bmw_m550i_xdrive_ip_rhd_line_1_</v>
      </c>
      <c r="RX36" s="353"/>
      <c r="SA36" s="346"/>
      <c r="SE36" s="353" t="str">
        <f>SUBSTITUTE(LOWER(SI$1)," ","_") &amp; "_"</f>
        <v>bmw_x7_a-pillar_lh_line_4_</v>
      </c>
      <c r="SF36" s="353"/>
      <c r="SI36" s="346"/>
      <c r="SM36" s="353" t="str">
        <f>SUBSTITUTE(LOWER(SQ$1)," ","_") &amp; "_"</f>
        <v>bmw_x7_a-pillar_rh_line_4_</v>
      </c>
      <c r="SN36" s="353"/>
      <c r="SQ36" s="346"/>
      <c r="SU36" s="353" t="str">
        <f>SUBSTITUTE(LOWER(SY$1)," ","_") &amp; "_"</f>
        <v>bmw_420d_gran_coupé_a-pillar_lh_line_4_</v>
      </c>
      <c r="SV36" s="353"/>
      <c r="SY36" s="346"/>
      <c r="TC36" s="353" t="str">
        <f>SUBSTITUTE(LOWER(TG$1)," ","_") &amp; "_"</f>
        <v>bmw_420d_gran_coupé_a-pillar_rh_line_4_</v>
      </c>
      <c r="TD36" s="353"/>
      <c r="TG36" s="346"/>
      <c r="TK36" s="353" t="str">
        <f>SUBSTITUTE(LOWER(TO$1)," ","_") &amp; "_"</f>
        <v>bmw_m550i_xdrive_a-pillar_lh_line_4_</v>
      </c>
      <c r="TL36" s="353"/>
      <c r="TO36" s="346"/>
      <c r="TS36" s="353" t="str">
        <f>SUBSTITUTE(LOWER(TW$1)," ","_") &amp; "_"</f>
        <v>bmw_m550i_xdrive_a-pillar_rh_line_4_</v>
      </c>
      <c r="TT36" s="353"/>
      <c r="TW36" s="346"/>
      <c r="UA36" s="353" t="str">
        <f>SUBSTITUTE(LOWER(UE$1)," ","_") &amp; "_"</f>
        <v>mercedez_gle_53_c-pillar_lh_line_4_</v>
      </c>
      <c r="UB36" s="353"/>
      <c r="UE36" s="346"/>
      <c r="UI36" s="353" t="str">
        <f>SUBSTITUTE(LOWER(UM$1)," ","_") &amp; "_"</f>
        <v>mercedez_gle_53_c-pillar_rh_line_3_</v>
      </c>
      <c r="UJ36" s="353"/>
      <c r="UM36" s="346"/>
      <c r="UQ36" s="353" t="str">
        <f>SUBSTITUTE(LOWER(UU$1)," ","_") &amp; "_"</f>
        <v>mercedez_gle_580_c-pillar_lh_line_4_</v>
      </c>
      <c r="UR36" s="353"/>
      <c r="UU36" s="346"/>
      <c r="UY36" s="353" t="str">
        <f>SUBSTITUTE(LOWER(VC$1)," ","_") &amp; "_"</f>
        <v>mercedez_gle_580_c-pillar_rh_line_3_</v>
      </c>
      <c r="UZ36" s="353"/>
      <c r="VC36" s="346"/>
      <c r="VG36" s="353" t="str">
        <f>SUBSTITUTE(LOWER(VK$1)," ","_") &amp; "_"</f>
        <v>mercedez_le_300_coupé_c-pillar_lh_line_4_</v>
      </c>
      <c r="VH36" s="353"/>
      <c r="VK36" s="346"/>
      <c r="VO36" s="353" t="str">
        <f>SUBSTITUTE(LOWER(VS$1)," ","_") &amp; "_"</f>
        <v>mercedez_le_300_coupé_c-pillar_rh_line_3_</v>
      </c>
      <c r="VP36" s="353"/>
      <c r="VS36" s="346"/>
    </row>
    <row r="37" spans="3:591" x14ac:dyDescent="0.4">
      <c r="C37" s="1"/>
      <c r="D37" s="1"/>
      <c r="E37" s="1"/>
      <c r="F37" s="19" t="s">
        <v>76</v>
      </c>
      <c r="G37" s="20" t="s">
        <v>107</v>
      </c>
      <c r="H37" s="20" t="s">
        <v>499</v>
      </c>
      <c r="I37" s="1"/>
      <c r="J37" s="1"/>
      <c r="K37" s="1"/>
      <c r="L37" s="1"/>
      <c r="M37" s="1"/>
      <c r="O37" s="346"/>
      <c r="Q37" s="1"/>
      <c r="R37" s="1"/>
      <c r="S37" s="1"/>
      <c r="T37" s="19" t="s">
        <v>76</v>
      </c>
      <c r="U37" s="20" t="s">
        <v>107</v>
      </c>
      <c r="V37" s="20" t="s">
        <v>499</v>
      </c>
      <c r="W37" s="1"/>
      <c r="X37" s="1"/>
      <c r="Y37" s="1"/>
      <c r="Z37" s="1"/>
      <c r="AA37" s="1"/>
      <c r="AC37" s="346"/>
      <c r="AE37" s="30" t="str">
        <f ca="1"/>
        <v>MERCEDEZ GLE 53 C-Pillar LH LINE 2</v>
      </c>
      <c r="AF37" s="31">
        <f t="shared" ca="1" si="0"/>
        <v>1</v>
      </c>
      <c r="AH37" s="366"/>
      <c r="AJ37" s="11"/>
      <c r="AM37"/>
      <c r="AN37"/>
      <c r="AO37"/>
      <c r="AP37" s="6" t="s">
        <v>372</v>
      </c>
      <c r="AQ37" s="6" t="s">
        <v>373</v>
      </c>
      <c r="AR37" s="6" t="s">
        <v>374</v>
      </c>
      <c r="AS37" s="6" t="s">
        <v>375</v>
      </c>
      <c r="AT37" s="6" t="s">
        <v>376</v>
      </c>
      <c r="AU37" s="6" t="s">
        <v>377</v>
      </c>
      <c r="AV37" s="6" t="s">
        <v>378</v>
      </c>
      <c r="AW37" s="6" t="s">
        <v>379</v>
      </c>
      <c r="AX37" s="6" t="s">
        <v>380</v>
      </c>
      <c r="AY37" s="6" t="s">
        <v>381</v>
      </c>
      <c r="AZ37" s="6" t="s">
        <v>382</v>
      </c>
      <c r="BA37" s="6" t="s">
        <v>383</v>
      </c>
      <c r="BB37" s="6" t="s">
        <v>384</v>
      </c>
      <c r="BC37" s="6" t="s">
        <v>385</v>
      </c>
      <c r="BD37" s="6" t="s">
        <v>386</v>
      </c>
      <c r="BG37" s="11"/>
      <c r="BH37" s="11"/>
      <c r="BI37" s="11"/>
      <c r="BJ37" s="11"/>
      <c r="BK37" s="366"/>
      <c r="BO37" s="354" t="s">
        <v>37</v>
      </c>
      <c r="BP37" s="355"/>
      <c r="BS37" s="346"/>
      <c r="BW37" s="354" t="s">
        <v>37</v>
      </c>
      <c r="BX37" s="355"/>
      <c r="CA37" s="346"/>
      <c r="CI37" s="346"/>
      <c r="CM37" s="354" t="s">
        <v>37</v>
      </c>
      <c r="CN37" s="355"/>
      <c r="CQ37" s="346"/>
      <c r="CU37" s="354" t="s">
        <v>37</v>
      </c>
      <c r="CV37" s="355"/>
      <c r="CY37" s="346"/>
      <c r="DC37" s="354" t="s">
        <v>37</v>
      </c>
      <c r="DD37" s="355"/>
      <c r="DG37" s="346"/>
      <c r="DK37" s="354" t="s">
        <v>37</v>
      </c>
      <c r="DL37" s="355"/>
      <c r="DO37" s="346"/>
      <c r="DS37" s="354" t="s">
        <v>37</v>
      </c>
      <c r="DT37" s="355"/>
      <c r="DW37" s="369"/>
      <c r="EA37" s="354" t="s">
        <v>37</v>
      </c>
      <c r="EB37" s="355"/>
      <c r="EE37" s="346"/>
      <c r="EI37" s="354" t="s">
        <v>37</v>
      </c>
      <c r="EJ37" s="355"/>
      <c r="EM37" s="346"/>
      <c r="EQ37" s="354" t="s">
        <v>37</v>
      </c>
      <c r="ER37" s="355"/>
      <c r="EU37" s="346"/>
      <c r="EY37" s="354" t="s">
        <v>37</v>
      </c>
      <c r="EZ37" s="355"/>
      <c r="FC37" s="369"/>
      <c r="FG37" s="354" t="s">
        <v>37</v>
      </c>
      <c r="FH37" s="355"/>
      <c r="FK37" s="346"/>
      <c r="FO37" s="354" t="s">
        <v>37</v>
      </c>
      <c r="FP37" s="355"/>
      <c r="FS37" s="346"/>
      <c r="FW37" s="354" t="s">
        <v>37</v>
      </c>
      <c r="FX37" s="355"/>
      <c r="GA37" s="346"/>
      <c r="GE37" s="354" t="s">
        <v>37</v>
      </c>
      <c r="GF37" s="355"/>
      <c r="GI37" s="346"/>
      <c r="GM37" s="354" t="s">
        <v>37</v>
      </c>
      <c r="GN37" s="355"/>
      <c r="GQ37" s="346"/>
      <c r="GU37" s="354" t="s">
        <v>37</v>
      </c>
      <c r="GV37" s="355"/>
      <c r="GY37" s="346"/>
      <c r="HC37" s="354" t="s">
        <v>37</v>
      </c>
      <c r="HD37" s="355"/>
      <c r="HG37" s="346"/>
      <c r="HK37" s="354" t="s">
        <v>37</v>
      </c>
      <c r="HL37" s="355"/>
      <c r="HO37" s="346"/>
      <c r="HS37" s="354" t="s">
        <v>37</v>
      </c>
      <c r="HT37" s="355"/>
      <c r="HW37" s="346"/>
      <c r="IA37" s="354" t="s">
        <v>37</v>
      </c>
      <c r="IB37" s="355"/>
      <c r="IE37" s="346"/>
      <c r="II37" s="354" t="s">
        <v>37</v>
      </c>
      <c r="IJ37" s="355"/>
      <c r="IM37" s="346"/>
      <c r="IQ37" s="354" t="s">
        <v>37</v>
      </c>
      <c r="IR37" s="355"/>
      <c r="IU37" s="346"/>
      <c r="IY37" s="354" t="s">
        <v>37</v>
      </c>
      <c r="IZ37" s="355"/>
      <c r="JC37" s="346"/>
      <c r="JG37" s="354" t="s">
        <v>37</v>
      </c>
      <c r="JH37" s="355"/>
      <c r="JK37" s="346"/>
      <c r="JO37" s="354" t="s">
        <v>37</v>
      </c>
      <c r="JP37" s="355"/>
      <c r="JS37" s="346"/>
      <c r="JW37" s="354" t="s">
        <v>37</v>
      </c>
      <c r="JX37" s="355"/>
      <c r="KA37" s="346"/>
      <c r="KE37" s="354" t="s">
        <v>37</v>
      </c>
      <c r="KF37" s="355"/>
      <c r="KI37" s="346"/>
      <c r="KM37" s="354" t="s">
        <v>37</v>
      </c>
      <c r="KN37" s="355"/>
      <c r="KQ37" s="346"/>
      <c r="KU37" s="354" t="s">
        <v>37</v>
      </c>
      <c r="KV37" s="355"/>
      <c r="KY37" s="346"/>
      <c r="LC37" s="354" t="s">
        <v>37</v>
      </c>
      <c r="LD37" s="355"/>
      <c r="LG37" s="346"/>
      <c r="LK37" s="354" t="s">
        <v>37</v>
      </c>
      <c r="LL37" s="355"/>
      <c r="LO37" s="346"/>
      <c r="LS37" s="354" t="s">
        <v>37</v>
      </c>
      <c r="LT37" s="355"/>
      <c r="LW37" s="346"/>
      <c r="MA37" s="354" t="s">
        <v>37</v>
      </c>
      <c r="MB37" s="355"/>
      <c r="ME37" s="346"/>
      <c r="MI37" s="354" t="s">
        <v>37</v>
      </c>
      <c r="MJ37" s="355"/>
      <c r="MM37" s="346"/>
      <c r="MQ37" s="354" t="s">
        <v>37</v>
      </c>
      <c r="MR37" s="355"/>
      <c r="MU37" s="346"/>
      <c r="MY37" s="354" t="s">
        <v>37</v>
      </c>
      <c r="MZ37" s="355"/>
      <c r="NC37" s="346"/>
      <c r="NG37" s="354" t="s">
        <v>37</v>
      </c>
      <c r="NH37" s="355"/>
      <c r="NK37" s="346"/>
      <c r="NO37" s="354" t="s">
        <v>37</v>
      </c>
      <c r="NP37" s="355"/>
      <c r="NS37" s="346"/>
      <c r="NW37" s="354" t="s">
        <v>37</v>
      </c>
      <c r="NX37" s="355"/>
      <c r="OA37" s="346"/>
      <c r="OE37" s="354" t="s">
        <v>37</v>
      </c>
      <c r="OF37" s="355"/>
      <c r="OI37" s="346"/>
      <c r="OM37" s="354" t="s">
        <v>37</v>
      </c>
      <c r="ON37" s="355"/>
      <c r="OQ37" s="346"/>
      <c r="OU37" s="354" t="s">
        <v>37</v>
      </c>
      <c r="OV37" s="355"/>
      <c r="OY37" s="346"/>
      <c r="PC37" s="354" t="s">
        <v>37</v>
      </c>
      <c r="PD37" s="355"/>
      <c r="PG37" s="346"/>
      <c r="PK37" s="354" t="s">
        <v>37</v>
      </c>
      <c r="PL37" s="355"/>
      <c r="PO37" s="346"/>
      <c r="PS37" s="354" t="s">
        <v>37</v>
      </c>
      <c r="PT37" s="355"/>
      <c r="PW37" s="346"/>
      <c r="QA37" s="354" t="s">
        <v>37</v>
      </c>
      <c r="QB37" s="355"/>
      <c r="QE37" s="346"/>
      <c r="QI37" s="354" t="s">
        <v>37</v>
      </c>
      <c r="QJ37" s="355"/>
      <c r="QM37" s="346"/>
      <c r="QQ37" s="354" t="s">
        <v>37</v>
      </c>
      <c r="QR37" s="355"/>
      <c r="QU37" s="346"/>
      <c r="QY37" s="354" t="s">
        <v>37</v>
      </c>
      <c r="QZ37" s="355"/>
      <c r="RC37" s="346"/>
      <c r="RG37" s="354" t="s">
        <v>37</v>
      </c>
      <c r="RH37" s="355"/>
      <c r="RK37" s="346"/>
      <c r="RO37" s="354" t="s">
        <v>37</v>
      </c>
      <c r="RP37" s="355"/>
      <c r="RS37" s="346"/>
      <c r="RW37" s="354" t="s">
        <v>37</v>
      </c>
      <c r="RX37" s="355"/>
      <c r="SA37" s="346"/>
      <c r="SE37" s="354" t="s">
        <v>37</v>
      </c>
      <c r="SF37" s="355"/>
      <c r="SI37" s="346"/>
      <c r="SM37" s="354" t="s">
        <v>37</v>
      </c>
      <c r="SN37" s="355"/>
      <c r="SQ37" s="346"/>
      <c r="SU37" s="354" t="s">
        <v>37</v>
      </c>
      <c r="SV37" s="355"/>
      <c r="SY37" s="346"/>
      <c r="TC37" s="354" t="s">
        <v>37</v>
      </c>
      <c r="TD37" s="355"/>
      <c r="TG37" s="346"/>
      <c r="TK37" s="354" t="s">
        <v>37</v>
      </c>
      <c r="TL37" s="355"/>
      <c r="TO37" s="346"/>
      <c r="TS37" s="354" t="s">
        <v>37</v>
      </c>
      <c r="TT37" s="355"/>
      <c r="TW37" s="346"/>
      <c r="UA37" s="354" t="s">
        <v>37</v>
      </c>
      <c r="UB37" s="355"/>
      <c r="UE37" s="346"/>
      <c r="UI37" s="354" t="s">
        <v>37</v>
      </c>
      <c r="UJ37" s="355"/>
      <c r="UM37" s="346"/>
      <c r="UQ37" s="354" t="s">
        <v>37</v>
      </c>
      <c r="UR37" s="355"/>
      <c r="UU37" s="346"/>
      <c r="UY37" s="354" t="s">
        <v>37</v>
      </c>
      <c r="UZ37" s="355"/>
      <c r="VC37" s="346"/>
      <c r="VG37" s="354" t="s">
        <v>37</v>
      </c>
      <c r="VH37" s="355"/>
      <c r="VK37" s="346"/>
      <c r="VO37" s="354" t="s">
        <v>37</v>
      </c>
      <c r="VP37" s="355"/>
      <c r="VS37" s="346"/>
    </row>
    <row r="38" spans="3:591" x14ac:dyDescent="0.4">
      <c r="C38" s="1"/>
      <c r="D38" s="1"/>
      <c r="E38" s="1"/>
      <c r="F38" s="21"/>
      <c r="G38" s="22"/>
      <c r="H38" s="20"/>
      <c r="I38" s="1"/>
      <c r="J38" s="1"/>
      <c r="K38" s="1"/>
      <c r="L38" s="1"/>
      <c r="M38" s="1"/>
      <c r="O38" s="346"/>
      <c r="Q38" s="1"/>
      <c r="R38" s="1"/>
      <c r="S38" s="1"/>
      <c r="T38" s="21"/>
      <c r="U38" s="22"/>
      <c r="V38" s="20"/>
      <c r="W38" s="1"/>
      <c r="X38" s="1"/>
      <c r="Y38" s="1"/>
      <c r="Z38" s="1"/>
      <c r="AA38" s="1"/>
      <c r="AC38" s="346"/>
      <c r="AE38" s="30" t="str">
        <f ca="1"/>
        <v>MERCEDEZ GLE 53 C-Pillar RH LINE 1</v>
      </c>
      <c r="AF38" s="31">
        <f t="shared" ca="1" si="0"/>
        <v>1</v>
      </c>
      <c r="AH38" s="366"/>
      <c r="AJ38" s="11"/>
      <c r="AM38"/>
      <c r="AN38"/>
      <c r="AO38"/>
      <c r="AP38" s="6" t="s">
        <v>442</v>
      </c>
      <c r="AQ38" s="6" t="s">
        <v>443</v>
      </c>
      <c r="AR38" s="6" t="s">
        <v>444</v>
      </c>
      <c r="AS38" s="6" t="s">
        <v>445</v>
      </c>
      <c r="AT38" s="6" t="s">
        <v>446</v>
      </c>
      <c r="AU38" s="6" t="s">
        <v>442</v>
      </c>
      <c r="AV38" s="6" t="s">
        <v>443</v>
      </c>
      <c r="AW38" s="6" t="s">
        <v>444</v>
      </c>
      <c r="AX38" s="6" t="s">
        <v>445</v>
      </c>
      <c r="AY38" s="6" t="s">
        <v>446</v>
      </c>
      <c r="AZ38" s="6" t="s">
        <v>442</v>
      </c>
      <c r="BA38" s="6" t="s">
        <v>443</v>
      </c>
      <c r="BB38" s="6" t="s">
        <v>444</v>
      </c>
      <c r="BC38" s="6" t="s">
        <v>445</v>
      </c>
      <c r="BD38" s="6" t="s">
        <v>446</v>
      </c>
      <c r="BE38" s="11"/>
      <c r="BF38" s="11"/>
      <c r="BG38" s="11"/>
      <c r="BH38" s="11"/>
      <c r="BI38" s="11"/>
      <c r="BJ38" s="11"/>
      <c r="BK38" s="366"/>
      <c r="BO38" s="33" t="s">
        <v>31</v>
      </c>
      <c r="BP38" s="85">
        <v>54</v>
      </c>
      <c r="BS38" s="346"/>
      <c r="BW38" s="33" t="s">
        <v>31</v>
      </c>
      <c r="BX38" s="85">
        <v>90</v>
      </c>
      <c r="CA38" s="346"/>
      <c r="CI38" s="346"/>
      <c r="CM38" s="33" t="s">
        <v>31</v>
      </c>
      <c r="CN38" s="85">
        <v>150</v>
      </c>
      <c r="CQ38" s="346"/>
      <c r="CU38" s="33" t="s">
        <v>31</v>
      </c>
      <c r="CV38" s="85">
        <v>200</v>
      </c>
      <c r="CY38" s="346"/>
      <c r="DC38" s="33" t="s">
        <v>31</v>
      </c>
      <c r="DD38" s="85">
        <v>316</v>
      </c>
      <c r="DG38" s="346"/>
      <c r="DK38" s="33" t="s">
        <v>31</v>
      </c>
      <c r="DL38" s="85">
        <v>64</v>
      </c>
      <c r="DO38" s="346"/>
      <c r="DS38" s="33" t="s">
        <v>31</v>
      </c>
      <c r="DT38" s="85">
        <v>200</v>
      </c>
      <c r="DW38" s="369"/>
      <c r="EA38" s="33" t="s">
        <v>31</v>
      </c>
      <c r="EB38" s="85">
        <v>245</v>
      </c>
      <c r="EE38" s="346"/>
      <c r="EI38" s="33" t="s">
        <v>31</v>
      </c>
      <c r="EJ38" s="85">
        <v>116</v>
      </c>
      <c r="EM38" s="346"/>
      <c r="EQ38" s="33" t="s">
        <v>31</v>
      </c>
      <c r="ER38" s="85">
        <v>80</v>
      </c>
      <c r="EU38" s="346"/>
      <c r="EY38" s="33" t="s">
        <v>31</v>
      </c>
      <c r="EZ38" s="85">
        <v>281</v>
      </c>
      <c r="FC38" s="369"/>
      <c r="FG38" s="33" t="s">
        <v>31</v>
      </c>
      <c r="FH38" s="85">
        <v>124</v>
      </c>
      <c r="FK38" s="346"/>
      <c r="FO38" s="33" t="s">
        <v>31</v>
      </c>
      <c r="FP38" s="85">
        <v>174</v>
      </c>
      <c r="FS38" s="346"/>
      <c r="FW38" s="33" t="s">
        <v>31</v>
      </c>
      <c r="FX38" s="85">
        <v>279</v>
      </c>
      <c r="GA38" s="346"/>
      <c r="GE38" s="33" t="s">
        <v>31</v>
      </c>
      <c r="GF38" s="85">
        <v>237</v>
      </c>
      <c r="GI38" s="346"/>
      <c r="GM38" s="33" t="s">
        <v>31</v>
      </c>
      <c r="GN38" s="85">
        <v>115</v>
      </c>
      <c r="GQ38" s="346"/>
      <c r="GU38" s="33" t="s">
        <v>31</v>
      </c>
      <c r="GV38" s="85">
        <v>135</v>
      </c>
      <c r="GY38" s="346"/>
      <c r="HC38" s="33" t="s">
        <v>31</v>
      </c>
      <c r="HD38" s="85">
        <v>193</v>
      </c>
      <c r="HG38" s="346"/>
      <c r="HK38" s="33" t="s">
        <v>31</v>
      </c>
      <c r="HL38" s="85">
        <v>298</v>
      </c>
      <c r="HO38" s="346"/>
      <c r="HS38" s="33" t="s">
        <v>31</v>
      </c>
      <c r="HT38" s="85">
        <v>197</v>
      </c>
      <c r="HW38" s="346"/>
      <c r="IA38" s="33" t="s">
        <v>31</v>
      </c>
      <c r="IB38" s="85">
        <v>95</v>
      </c>
      <c r="IE38" s="346"/>
      <c r="II38" s="33" t="s">
        <v>31</v>
      </c>
      <c r="IJ38" s="85">
        <v>321</v>
      </c>
      <c r="IM38" s="346"/>
      <c r="IQ38" s="33" t="s">
        <v>31</v>
      </c>
      <c r="IR38" s="85">
        <v>124</v>
      </c>
      <c r="IU38" s="346"/>
      <c r="IY38" s="33" t="s">
        <v>31</v>
      </c>
      <c r="IZ38" s="85">
        <v>242</v>
      </c>
      <c r="JC38" s="346"/>
      <c r="JG38" s="33" t="s">
        <v>31</v>
      </c>
      <c r="JH38" s="85">
        <v>267</v>
      </c>
      <c r="JK38" s="346"/>
      <c r="JO38" s="33" t="s">
        <v>31</v>
      </c>
      <c r="JP38" s="85">
        <v>284</v>
      </c>
      <c r="JS38" s="346"/>
      <c r="JW38" s="33" t="s">
        <v>31</v>
      </c>
      <c r="JX38" s="85">
        <v>162</v>
      </c>
      <c r="KA38" s="346"/>
      <c r="KE38" s="33" t="s">
        <v>31</v>
      </c>
      <c r="KF38" s="85">
        <v>249</v>
      </c>
      <c r="KI38" s="346"/>
      <c r="KM38" s="33" t="s">
        <v>31</v>
      </c>
      <c r="KN38" s="85">
        <v>284</v>
      </c>
      <c r="KQ38" s="346"/>
      <c r="KU38" s="33" t="s">
        <v>31</v>
      </c>
      <c r="KV38" s="85">
        <v>310</v>
      </c>
      <c r="KY38" s="346"/>
      <c r="LC38" s="33" t="s">
        <v>31</v>
      </c>
      <c r="LD38" s="85">
        <v>343</v>
      </c>
      <c r="LG38" s="346"/>
      <c r="LK38" s="33" t="s">
        <v>31</v>
      </c>
      <c r="LL38" s="85">
        <v>155</v>
      </c>
      <c r="LO38" s="346"/>
      <c r="LS38" s="33" t="s">
        <v>31</v>
      </c>
      <c r="LT38" s="85">
        <v>291</v>
      </c>
      <c r="LW38" s="346"/>
      <c r="MA38" s="33" t="s">
        <v>31</v>
      </c>
      <c r="MB38" s="85">
        <v>251</v>
      </c>
      <c r="ME38" s="346"/>
      <c r="MI38" s="33" t="s">
        <v>31</v>
      </c>
      <c r="MJ38" s="85">
        <v>131</v>
      </c>
      <c r="MM38" s="346"/>
      <c r="MQ38" s="33" t="s">
        <v>31</v>
      </c>
      <c r="MR38" s="85">
        <v>326</v>
      </c>
      <c r="MU38" s="346"/>
      <c r="MY38" s="33" t="s">
        <v>31</v>
      </c>
      <c r="MZ38" s="85">
        <v>283</v>
      </c>
      <c r="NC38" s="346"/>
      <c r="NG38" s="33" t="s">
        <v>31</v>
      </c>
      <c r="NH38" s="85">
        <v>276</v>
      </c>
      <c r="NK38" s="346"/>
      <c r="NO38" s="33" t="s">
        <v>31</v>
      </c>
      <c r="NP38" s="85">
        <v>336</v>
      </c>
      <c r="NS38" s="346"/>
      <c r="NW38" s="33" t="s">
        <v>31</v>
      </c>
      <c r="NX38" s="85">
        <v>166</v>
      </c>
      <c r="OA38" s="346"/>
      <c r="OE38" s="33" t="s">
        <v>31</v>
      </c>
      <c r="OF38" s="85">
        <v>134</v>
      </c>
      <c r="OI38" s="346"/>
      <c r="OM38" s="33" t="s">
        <v>31</v>
      </c>
      <c r="ON38" s="85">
        <v>200</v>
      </c>
      <c r="OQ38" s="346"/>
      <c r="OU38" s="33" t="s">
        <v>31</v>
      </c>
      <c r="OV38" s="85">
        <v>292</v>
      </c>
      <c r="OY38" s="346"/>
      <c r="PC38" s="33" t="s">
        <v>31</v>
      </c>
      <c r="PD38" s="85">
        <v>177</v>
      </c>
      <c r="PG38" s="346"/>
      <c r="PK38" s="33" t="s">
        <v>31</v>
      </c>
      <c r="PL38" s="85">
        <v>190</v>
      </c>
      <c r="PO38" s="346"/>
      <c r="PS38" s="33" t="s">
        <v>31</v>
      </c>
      <c r="PT38" s="85">
        <v>51</v>
      </c>
      <c r="PW38" s="346"/>
      <c r="QA38" s="33" t="s">
        <v>31</v>
      </c>
      <c r="QB38" s="85">
        <v>173</v>
      </c>
      <c r="QE38" s="346"/>
      <c r="QI38" s="33" t="s">
        <v>31</v>
      </c>
      <c r="QJ38" s="85">
        <v>250</v>
      </c>
      <c r="QM38" s="346"/>
      <c r="QQ38" s="33" t="s">
        <v>31</v>
      </c>
      <c r="QR38" s="85">
        <v>71</v>
      </c>
      <c r="QU38" s="346"/>
      <c r="QY38" s="33" t="s">
        <v>31</v>
      </c>
      <c r="QZ38" s="85">
        <v>86</v>
      </c>
      <c r="RC38" s="346"/>
      <c r="RG38" s="33" t="s">
        <v>31</v>
      </c>
      <c r="RH38" s="85">
        <v>334</v>
      </c>
      <c r="RK38" s="346"/>
      <c r="RO38" s="33" t="s">
        <v>31</v>
      </c>
      <c r="RP38" s="85">
        <v>166</v>
      </c>
      <c r="RS38" s="346"/>
      <c r="RW38" s="33" t="s">
        <v>31</v>
      </c>
      <c r="RX38" s="85">
        <v>63</v>
      </c>
      <c r="SA38" s="346"/>
      <c r="SE38" s="33" t="s">
        <v>31</v>
      </c>
      <c r="SF38" s="85">
        <v>110</v>
      </c>
      <c r="SI38" s="346"/>
      <c r="SM38" s="33" t="s">
        <v>31</v>
      </c>
      <c r="SN38" s="85">
        <v>235</v>
      </c>
      <c r="SQ38" s="346"/>
      <c r="SU38" s="33" t="s">
        <v>31</v>
      </c>
      <c r="SV38" s="85">
        <v>261</v>
      </c>
      <c r="SY38" s="346"/>
      <c r="TC38" s="33" t="s">
        <v>31</v>
      </c>
      <c r="TD38" s="85">
        <v>223</v>
      </c>
      <c r="TG38" s="346"/>
      <c r="TK38" s="33" t="s">
        <v>31</v>
      </c>
      <c r="TL38" s="85">
        <v>174</v>
      </c>
      <c r="TO38" s="346"/>
      <c r="TS38" s="33" t="s">
        <v>31</v>
      </c>
      <c r="TT38" s="85">
        <v>260</v>
      </c>
      <c r="TW38" s="346"/>
      <c r="UA38" s="33" t="s">
        <v>31</v>
      </c>
      <c r="UB38" s="85">
        <v>200</v>
      </c>
      <c r="UE38" s="346"/>
      <c r="UI38" s="33" t="s">
        <v>31</v>
      </c>
      <c r="UJ38" s="85">
        <v>344</v>
      </c>
      <c r="UM38" s="346"/>
      <c r="UQ38" s="33" t="s">
        <v>31</v>
      </c>
      <c r="UR38" s="85">
        <v>197</v>
      </c>
      <c r="UU38" s="346"/>
      <c r="UY38" s="33" t="s">
        <v>31</v>
      </c>
      <c r="UZ38" s="85">
        <v>313</v>
      </c>
      <c r="VC38" s="346"/>
      <c r="VG38" s="33" t="s">
        <v>31</v>
      </c>
      <c r="VH38" s="85">
        <v>173</v>
      </c>
      <c r="VK38" s="346"/>
      <c r="VO38" s="33" t="s">
        <v>31</v>
      </c>
      <c r="VP38" s="85">
        <v>80</v>
      </c>
      <c r="VS38" s="346"/>
    </row>
    <row r="39" spans="3:591" x14ac:dyDescent="0.4">
      <c r="C39" s="1"/>
      <c r="D39" s="1"/>
      <c r="E39" s="1"/>
      <c r="F39" s="21"/>
      <c r="G39" s="22"/>
      <c r="H39" s="22"/>
      <c r="I39" s="1"/>
      <c r="J39" s="1"/>
      <c r="K39" s="1"/>
      <c r="L39" s="1"/>
      <c r="M39" s="1"/>
      <c r="O39" s="346"/>
      <c r="Q39" s="1"/>
      <c r="R39" s="1"/>
      <c r="S39" s="1"/>
      <c r="T39" s="21"/>
      <c r="U39" s="22"/>
      <c r="V39" s="22"/>
      <c r="W39" s="1"/>
      <c r="X39" s="1"/>
      <c r="Y39" s="1"/>
      <c r="Z39" s="1"/>
      <c r="AA39" s="1"/>
      <c r="AC39" s="346"/>
      <c r="AE39" s="30" t="str">
        <f ca="1"/>
        <v>MERCEDEZ GLE 580 C-Pillar LH LINE 2</v>
      </c>
      <c r="AF39" s="31">
        <f t="shared" ca="1" si="0"/>
        <v>1</v>
      </c>
      <c r="AH39" s="366"/>
      <c r="AJ39" s="11"/>
      <c r="AM39"/>
      <c r="AN39"/>
      <c r="AO39"/>
      <c r="AP39" s="6" t="s">
        <v>453</v>
      </c>
      <c r="AQ39" s="6" t="s">
        <v>454</v>
      </c>
      <c r="AR39" s="6" t="s">
        <v>455</v>
      </c>
      <c r="AS39" s="6" t="s">
        <v>456</v>
      </c>
      <c r="AT39" s="6" t="s">
        <v>457</v>
      </c>
      <c r="AU39" s="6" t="s">
        <v>453</v>
      </c>
      <c r="AV39" s="6" t="s">
        <v>454</v>
      </c>
      <c r="AW39" s="6" t="s">
        <v>455</v>
      </c>
      <c r="AX39" s="6" t="s">
        <v>456</v>
      </c>
      <c r="AY39" s="6" t="s">
        <v>457</v>
      </c>
      <c r="AZ39" s="6" t="s">
        <v>453</v>
      </c>
      <c r="BA39" s="6" t="s">
        <v>454</v>
      </c>
      <c r="BB39" s="6" t="s">
        <v>455</v>
      </c>
      <c r="BC39" s="6" t="s">
        <v>456</v>
      </c>
      <c r="BD39" s="6" t="s">
        <v>457</v>
      </c>
      <c r="BE39" s="11"/>
      <c r="BF39" s="11"/>
      <c r="BG39" s="11"/>
      <c r="BH39" s="11"/>
      <c r="BI39" s="11"/>
      <c r="BJ39" s="11"/>
      <c r="BK39" s="366"/>
      <c r="BQ39"/>
      <c r="BS39" s="346"/>
      <c r="BY39"/>
      <c r="CA39" s="346"/>
      <c r="CF39"/>
      <c r="CG39"/>
      <c r="CI39" s="346"/>
      <c r="CO39"/>
      <c r="CQ39" s="346"/>
      <c r="CU39" s="34"/>
      <c r="CV39"/>
      <c r="CW39"/>
      <c r="CY39" s="346"/>
      <c r="DE39"/>
      <c r="DG39" s="346"/>
      <c r="DK39" s="34"/>
      <c r="DL39"/>
      <c r="DM39"/>
      <c r="DO39" s="346"/>
      <c r="DS39" s="34"/>
      <c r="DT39"/>
      <c r="DU39"/>
      <c r="DW39" s="369"/>
      <c r="EA39" s="34"/>
      <c r="EB39"/>
      <c r="EC39"/>
      <c r="EE39" s="346"/>
      <c r="EI39" s="34"/>
      <c r="EJ39"/>
      <c r="EK39"/>
      <c r="EM39" s="346"/>
      <c r="EQ39" s="34"/>
      <c r="ER39"/>
      <c r="ES39"/>
      <c r="EU39" s="346"/>
      <c r="EY39" s="34"/>
      <c r="EZ39"/>
      <c r="FA39"/>
      <c r="FC39" s="369"/>
      <c r="FG39" s="34"/>
      <c r="FH39"/>
      <c r="FI39"/>
      <c r="FK39" s="346"/>
      <c r="FO39" s="34"/>
      <c r="FP39"/>
      <c r="FQ39"/>
      <c r="FS39" s="346"/>
      <c r="FW39" s="34"/>
      <c r="FX39"/>
      <c r="FY39"/>
      <c r="GA39" s="346"/>
      <c r="GE39" s="34"/>
      <c r="GF39"/>
      <c r="GG39"/>
      <c r="GI39" s="346"/>
      <c r="GM39" s="34"/>
      <c r="GN39"/>
      <c r="GO39"/>
      <c r="GQ39" s="346"/>
      <c r="GU39" s="34"/>
      <c r="GV39"/>
      <c r="GW39"/>
      <c r="GY39" s="346"/>
      <c r="HC39" s="34"/>
      <c r="HD39"/>
      <c r="HE39"/>
      <c r="HG39" s="346"/>
      <c r="HK39" s="34"/>
      <c r="HL39"/>
      <c r="HM39"/>
      <c r="HO39" s="346"/>
      <c r="HS39" s="34"/>
      <c r="HT39"/>
      <c r="HU39"/>
      <c r="HW39" s="346"/>
      <c r="IA39" s="34"/>
      <c r="IB39"/>
      <c r="IC39"/>
      <c r="IE39" s="346"/>
      <c r="II39" s="34"/>
      <c r="IJ39"/>
      <c r="IK39"/>
      <c r="IM39" s="346"/>
      <c r="IQ39" s="34"/>
      <c r="IR39"/>
      <c r="IS39"/>
      <c r="IU39" s="346"/>
      <c r="IY39" s="34"/>
      <c r="IZ39"/>
      <c r="JA39"/>
      <c r="JC39" s="346"/>
      <c r="JG39" s="34"/>
      <c r="JH39"/>
      <c r="JI39"/>
      <c r="JK39" s="346"/>
      <c r="JO39" s="34"/>
      <c r="JP39"/>
      <c r="JQ39"/>
      <c r="JS39" s="346"/>
      <c r="JW39" s="34"/>
      <c r="JX39"/>
      <c r="JY39"/>
      <c r="KA39" s="346"/>
      <c r="KE39" s="34"/>
      <c r="KF39"/>
      <c r="KG39"/>
      <c r="KI39" s="346"/>
      <c r="KM39" s="34"/>
      <c r="KN39"/>
      <c r="KO39"/>
      <c r="KQ39" s="346"/>
      <c r="KU39" s="34"/>
      <c r="KV39"/>
      <c r="KW39"/>
      <c r="KY39" s="346"/>
      <c r="LC39" s="34"/>
      <c r="LD39"/>
      <c r="LE39"/>
      <c r="LG39" s="346"/>
      <c r="LK39" s="34"/>
      <c r="LL39"/>
      <c r="LM39"/>
      <c r="LO39" s="346"/>
      <c r="LS39" s="34"/>
      <c r="LT39"/>
      <c r="LU39"/>
      <c r="LW39" s="346"/>
      <c r="MA39" s="34"/>
      <c r="MB39"/>
      <c r="MC39"/>
      <c r="ME39" s="346"/>
      <c r="MI39" s="34"/>
      <c r="MJ39"/>
      <c r="MK39"/>
      <c r="MM39" s="346"/>
      <c r="MQ39" s="34"/>
      <c r="MR39"/>
      <c r="MS39"/>
      <c r="MU39" s="346"/>
      <c r="MY39" s="34"/>
      <c r="MZ39"/>
      <c r="NA39"/>
      <c r="NC39" s="346"/>
      <c r="NG39" s="34"/>
      <c r="NH39"/>
      <c r="NI39"/>
      <c r="NK39" s="346"/>
      <c r="NO39" s="34"/>
      <c r="NP39"/>
      <c r="NQ39"/>
      <c r="NS39" s="346"/>
      <c r="NW39" s="34"/>
      <c r="NX39"/>
      <c r="NY39"/>
      <c r="OA39" s="346"/>
      <c r="OE39" s="34"/>
      <c r="OF39"/>
      <c r="OG39"/>
      <c r="OI39" s="346"/>
      <c r="OM39" s="34"/>
      <c r="ON39"/>
      <c r="OO39"/>
      <c r="OQ39" s="346"/>
      <c r="OU39" s="34"/>
      <c r="OV39"/>
      <c r="OW39"/>
      <c r="OY39" s="346"/>
      <c r="PC39" s="34"/>
      <c r="PD39"/>
      <c r="PE39"/>
      <c r="PG39" s="346"/>
      <c r="PK39" s="34"/>
      <c r="PL39"/>
      <c r="PM39"/>
      <c r="PO39" s="346"/>
      <c r="PS39" s="34"/>
      <c r="PT39"/>
      <c r="PU39"/>
      <c r="PW39" s="346"/>
      <c r="QA39" s="34"/>
      <c r="QB39"/>
      <c r="QC39"/>
      <c r="QE39" s="346"/>
      <c r="QI39" s="34"/>
      <c r="QJ39"/>
      <c r="QK39"/>
      <c r="QM39" s="346"/>
      <c r="QQ39" s="34"/>
      <c r="QR39"/>
      <c r="QS39"/>
      <c r="QU39" s="346"/>
      <c r="QY39" s="34"/>
      <c r="QZ39"/>
      <c r="RA39"/>
      <c r="RC39" s="346"/>
      <c r="RG39" s="34"/>
      <c r="RH39"/>
      <c r="RI39"/>
      <c r="RK39" s="346"/>
      <c r="RO39" s="34"/>
      <c r="RP39"/>
      <c r="RQ39"/>
      <c r="RS39" s="346"/>
      <c r="RW39" s="34"/>
      <c r="RX39"/>
      <c r="RY39"/>
      <c r="SA39" s="346"/>
      <c r="SE39" s="34"/>
      <c r="SF39"/>
      <c r="SG39"/>
      <c r="SI39" s="346"/>
      <c r="SM39" s="34"/>
      <c r="SN39"/>
      <c r="SO39"/>
      <c r="SQ39" s="346"/>
      <c r="SU39" s="34"/>
      <c r="SV39"/>
      <c r="SW39"/>
      <c r="SY39" s="346"/>
      <c r="TC39" s="34"/>
      <c r="TD39"/>
      <c r="TE39"/>
      <c r="TG39" s="346"/>
      <c r="TK39" s="34"/>
      <c r="TL39"/>
      <c r="TM39"/>
      <c r="TO39" s="346"/>
      <c r="TS39" s="34"/>
      <c r="TT39"/>
      <c r="TU39"/>
      <c r="TW39" s="346"/>
      <c r="UA39" s="34"/>
      <c r="UB39"/>
      <c r="UC39"/>
      <c r="UE39" s="346"/>
      <c r="UI39" s="34"/>
      <c r="UJ39"/>
      <c r="UK39"/>
      <c r="UM39" s="346"/>
      <c r="UQ39" s="34"/>
      <c r="UR39"/>
      <c r="US39"/>
      <c r="UU39" s="346"/>
      <c r="UY39" s="34"/>
      <c r="UZ39"/>
      <c r="VA39"/>
      <c r="VC39" s="346"/>
      <c r="VG39" s="34"/>
      <c r="VH39"/>
      <c r="VI39"/>
      <c r="VK39" s="346"/>
      <c r="VO39" s="34"/>
      <c r="VP39"/>
      <c r="VQ39"/>
      <c r="VS39" s="346"/>
    </row>
    <row r="40" spans="3:591" x14ac:dyDescent="0.4">
      <c r="C40" s="1"/>
      <c r="D40" s="1"/>
      <c r="E40" s="1"/>
      <c r="F40" s="21"/>
      <c r="G40" s="22"/>
      <c r="H40" s="22"/>
      <c r="I40" s="1"/>
      <c r="J40" s="1"/>
      <c r="K40" s="1"/>
      <c r="L40" s="1"/>
      <c r="M40" s="1"/>
      <c r="O40" s="346"/>
      <c r="Q40" s="1"/>
      <c r="R40" s="1"/>
      <c r="S40" s="1"/>
      <c r="T40" s="21"/>
      <c r="U40" s="22"/>
      <c r="V40" s="22"/>
      <c r="W40" s="1"/>
      <c r="X40" s="1"/>
      <c r="Y40" s="1"/>
      <c r="Z40" s="1"/>
      <c r="AA40" s="1"/>
      <c r="AC40" s="346"/>
      <c r="AE40" s="30" t="str">
        <f ca="1"/>
        <v>MERCEDEZ GLE 580 C-Pillar RH LINE 1</v>
      </c>
      <c r="AF40" s="31">
        <f t="shared" ref="AF40:AF71" ca="1" si="1">IF(AE40="","",COUNTIF($1:$1,AE40))</f>
        <v>1</v>
      </c>
      <c r="AH40" s="366"/>
      <c r="AJ40" s="11"/>
      <c r="AM40"/>
      <c r="AN40"/>
      <c r="AO40"/>
      <c r="AP40" s="6" t="s">
        <v>457</v>
      </c>
      <c r="AQ40" s="6" t="s">
        <v>459</v>
      </c>
      <c r="AR40" s="6" t="s">
        <v>460</v>
      </c>
      <c r="AS40" s="6" t="s">
        <v>461</v>
      </c>
      <c r="AT40" s="6" t="s">
        <v>453</v>
      </c>
      <c r="AU40" s="6" t="s">
        <v>457</v>
      </c>
      <c r="AV40" s="6" t="s">
        <v>459</v>
      </c>
      <c r="AW40" s="6" t="s">
        <v>460</v>
      </c>
      <c r="AX40" s="6" t="s">
        <v>461</v>
      </c>
      <c r="AY40" s="6" t="s">
        <v>453</v>
      </c>
      <c r="AZ40" s="6" t="s">
        <v>457</v>
      </c>
      <c r="BA40" s="6" t="s">
        <v>459</v>
      </c>
      <c r="BB40" s="6" t="s">
        <v>460</v>
      </c>
      <c r="BC40" s="6" t="s">
        <v>461</v>
      </c>
      <c r="BD40" s="6" t="s">
        <v>453</v>
      </c>
      <c r="BE40" s="11"/>
      <c r="BF40" s="11"/>
      <c r="BG40" s="11"/>
      <c r="BH40" s="11"/>
      <c r="BI40" s="11"/>
      <c r="BJ40" s="11"/>
      <c r="BK40" s="366"/>
      <c r="BS40" s="346"/>
      <c r="CA40" s="346"/>
      <c r="CI40" s="346"/>
      <c r="CQ40" s="346"/>
      <c r="CY40" s="346"/>
      <c r="DG40" s="346"/>
      <c r="DO40" s="346"/>
      <c r="DW40" s="369"/>
      <c r="EE40" s="346"/>
      <c r="EM40" s="346"/>
      <c r="EU40" s="346"/>
      <c r="FC40" s="369"/>
      <c r="FK40" s="346"/>
      <c r="FS40" s="346"/>
      <c r="GA40" s="346"/>
      <c r="GI40" s="346"/>
      <c r="GQ40" s="346"/>
      <c r="GY40" s="346"/>
      <c r="HG40" s="346"/>
      <c r="HO40" s="346"/>
      <c r="HW40" s="346"/>
      <c r="IE40" s="346"/>
      <c r="IM40" s="346"/>
      <c r="IU40" s="346"/>
      <c r="JC40" s="346"/>
      <c r="JK40" s="346"/>
      <c r="JS40" s="346"/>
      <c r="KA40" s="346"/>
      <c r="KI40" s="346"/>
      <c r="KQ40" s="346"/>
      <c r="KY40" s="346"/>
      <c r="LG40" s="346"/>
      <c r="LO40" s="346"/>
      <c r="LW40" s="346"/>
      <c r="ME40" s="346"/>
      <c r="MM40" s="346"/>
      <c r="MU40" s="346"/>
      <c r="NC40" s="346"/>
      <c r="NK40" s="346"/>
      <c r="NS40" s="346"/>
      <c r="OA40" s="346"/>
      <c r="OI40" s="346"/>
      <c r="OQ40" s="346"/>
      <c r="OY40" s="346"/>
      <c r="PG40" s="346"/>
      <c r="PO40" s="346"/>
      <c r="PW40" s="346"/>
      <c r="QE40" s="346"/>
      <c r="QM40" s="346"/>
      <c r="QU40" s="346"/>
      <c r="RC40" s="346"/>
      <c r="RK40" s="346"/>
      <c r="RS40" s="346"/>
      <c r="SA40" s="346"/>
      <c r="SI40" s="346"/>
      <c r="SQ40" s="346"/>
      <c r="SY40" s="346"/>
      <c r="TG40" s="346"/>
      <c r="TO40" s="346"/>
      <c r="TW40" s="346"/>
      <c r="UE40" s="346"/>
      <c r="UM40" s="346"/>
      <c r="UU40" s="346"/>
      <c r="VC40" s="346"/>
      <c r="VK40" s="346"/>
      <c r="VS40" s="346"/>
    </row>
    <row r="41" spans="3:591" x14ac:dyDescent="0.4">
      <c r="C41" s="1"/>
      <c r="D41" s="1"/>
      <c r="E41" s="1"/>
      <c r="F41" s="21"/>
      <c r="G41" s="22"/>
      <c r="H41" s="22"/>
      <c r="I41" s="1"/>
      <c r="J41" s="1"/>
      <c r="K41" s="1"/>
      <c r="L41" s="1"/>
      <c r="M41" s="1"/>
      <c r="Q41" s="1"/>
      <c r="R41" s="1"/>
      <c r="S41" s="1"/>
      <c r="T41" s="21"/>
      <c r="U41" s="22"/>
      <c r="V41" s="22"/>
      <c r="W41" s="1"/>
      <c r="X41" s="1"/>
      <c r="Y41" s="1"/>
      <c r="Z41" s="1"/>
      <c r="AA41" s="1"/>
      <c r="AE41" s="30" t="str">
        <f ca="1"/>
        <v>MERCEDEZ LE 300 Coupé C-Pillar LH LINE 2</v>
      </c>
      <c r="AF41" s="31">
        <f t="shared" ca="1" si="1"/>
        <v>1</v>
      </c>
      <c r="AJ41" s="11"/>
      <c r="AM41"/>
      <c r="AN41"/>
      <c r="AO41"/>
      <c r="AP41" s="6" t="s">
        <v>464</v>
      </c>
      <c r="AQ41" s="6" t="s">
        <v>465</v>
      </c>
      <c r="AR41" s="6"/>
      <c r="AS41" s="6"/>
      <c r="AT41" s="6"/>
      <c r="AU41" s="6" t="s">
        <v>464</v>
      </c>
      <c r="AV41" s="6" t="s">
        <v>465</v>
      </c>
      <c r="AW41" s="6"/>
      <c r="AX41" s="6"/>
      <c r="AY41" s="6"/>
      <c r="AZ41" s="6" t="s">
        <v>464</v>
      </c>
      <c r="BA41" s="6" t="s">
        <v>465</v>
      </c>
      <c r="BB41" s="6"/>
      <c r="BC41" s="6"/>
      <c r="BD41" s="6"/>
      <c r="BE41" s="11"/>
      <c r="BF41" s="11"/>
      <c r="BG41" s="11"/>
      <c r="BH41" s="11"/>
      <c r="BI41" s="11"/>
      <c r="BJ41" s="11"/>
      <c r="BO41" s="353" t="str">
        <f>SUBSTITUTE(LOWER(BS$1)," ","_") &amp; "_"</f>
        <v>mercedez_gle_53_rear_axle_line_2_</v>
      </c>
      <c r="BP41" s="353"/>
      <c r="BW41" s="353" t="str">
        <f>SUBSTITUTE(LOWER(CA$1)," ","_") &amp; "_"</f>
        <v>mercedez_gle_580_rear_axle_line_2_</v>
      </c>
      <c r="BX41" s="353"/>
      <c r="CM41" s="353" t="str">
        <f>SUBSTITUTE(LOWER(CQ$1)," ","_") &amp; "_"</f>
        <v>mercedez_gle_53_front_axle_line_1_</v>
      </c>
      <c r="CN41" s="353"/>
      <c r="CU41" s="353" t="str">
        <f>SUBSTITUTE(LOWER(CY$1)," ","_") &amp; "_"</f>
        <v>mercedez_gle_580_front_axle_line_1_</v>
      </c>
      <c r="CV41" s="353"/>
      <c r="DC41" s="353" t="str">
        <f>SUBSTITUTE(LOWER(DG$1)," ","_") &amp; "_"</f>
        <v>mercedez_le_300_coupé_front_axle_line_1_</v>
      </c>
      <c r="DD41" s="353"/>
      <c r="DK41" s="353" t="str">
        <f>SUBSTITUTE(LOWER(DO$1)," ","_") &amp; "_"</f>
        <v>mercedez_gle_53_rear_bumper_line_1_</v>
      </c>
      <c r="DL41" s="353"/>
      <c r="DS41" s="353" t="str">
        <f>SUBSTITUTE(LOWER(DW$1)," ","_") &amp; "_"</f>
        <v>mercedez_gle_580_rear_bumper_line_1_</v>
      </c>
      <c r="DT41" s="353"/>
      <c r="EA41" s="353" t="str">
        <f>SUBSTITUTE(LOWER(EE$1)," ","_") &amp; "_"</f>
        <v>mercedez_le_300_coupé_rear_bumper_line_3_</v>
      </c>
      <c r="EB41" s="353"/>
      <c r="EI41" s="353" t="str">
        <f>SUBSTITUTE(LOWER(EM$1)," ","_") &amp; "_"</f>
        <v>bmw_x7_rear_bumper_line_1_</v>
      </c>
      <c r="EJ41" s="353"/>
      <c r="EQ41" s="353" t="str">
        <f>SUBSTITUTE(LOWER(EU$1)," ","_") &amp; "_"</f>
        <v>bmw_420d_gran_coupé_rear_bumper_line_3_</v>
      </c>
      <c r="ER41" s="353"/>
      <c r="EY41" s="353" t="str">
        <f>SUBSTITUTE(LOWER(FC$1)," ","_") &amp; "_"</f>
        <v>bmw_m550i_xdrive_rear_bumper_line_3_</v>
      </c>
      <c r="EZ41" s="353"/>
      <c r="FG41" s="353" t="str">
        <f>SUBSTITUTE(LOWER(FK$1)," ","_") &amp; "_"</f>
        <v>mercedez_gle_53_front_bumper_line_2_</v>
      </c>
      <c r="FH41" s="353"/>
      <c r="FO41" s="353" t="str">
        <f>SUBSTITUTE(LOWER(FS$1)," ","_") &amp; "_"</f>
        <v>mercedez_gle_580_front_bumper_line_2_</v>
      </c>
      <c r="FP41" s="353"/>
      <c r="FW41" s="353" t="str">
        <f>SUBSTITUTE(LOWER(GA$1)," ","_") &amp; "_"</f>
        <v>mercedez_le_300_coupé_front_bumper_line_4_</v>
      </c>
      <c r="FX41" s="353"/>
      <c r="GE41" s="353" t="str">
        <f>SUBSTITUTE(LOWER(GI$1)," ","_") &amp; "_"</f>
        <v>bmw_x7_front_bumper_line_2_</v>
      </c>
      <c r="GF41" s="353"/>
      <c r="GM41" s="353" t="str">
        <f>SUBSTITUTE(LOWER(GQ$1)," ","_") &amp; "_"</f>
        <v>bmw_420d_gran_coupé_front_bumper_line_4_</v>
      </c>
      <c r="GN41" s="353"/>
      <c r="GU41" s="353" t="str">
        <f>SUBSTITUTE(LOWER(GY$1)," ","_") &amp; "_"</f>
        <v>bmw_m550i_xdrive_front_bumper_line_4_</v>
      </c>
      <c r="GV41" s="353"/>
      <c r="HC41" s="353" t="str">
        <f>SUBSTITUTE(LOWER(HG$1)," ","_") &amp; "_"</f>
        <v>bmw_x7_b-pillar_lh_line_3_</v>
      </c>
      <c r="HD41" s="353"/>
      <c r="HK41" s="353" t="str">
        <f>SUBSTITUTE(LOWER(HO$1)," ","_") &amp; "_"</f>
        <v>bmw_x7_b-pillar_rh_line_3_</v>
      </c>
      <c r="HL41" s="353"/>
      <c r="HS41" s="353" t="str">
        <f>SUBSTITUTE(LOWER(HW$1)," ","_") &amp; "_"</f>
        <v>bmw_420d_gran_coupé_b-pillar_lh_line_3_</v>
      </c>
      <c r="HT41" s="353"/>
      <c r="IA41" s="353" t="str">
        <f>SUBSTITUTE(LOWER(IE$1)," ","_") &amp; "_"</f>
        <v>bmw_420d_gran_coupé_b-pillar_rh_line_3_</v>
      </c>
      <c r="IB41" s="353"/>
      <c r="II41" s="353" t="str">
        <f>SUBSTITUTE(LOWER(IM$1)," ","_") &amp; "_"</f>
        <v>bmw_m550i_xdrive_b-pillar_lh_line_3_</v>
      </c>
      <c r="IJ41" s="353"/>
      <c r="IQ41" s="353" t="str">
        <f>SUBSTITUTE(LOWER(IU$1)," ","_") &amp; "_"</f>
        <v>bmw_m550i_xdrive_b-pillar_rh_line_3_</v>
      </c>
      <c r="IR41" s="353"/>
      <c r="IY41" s="353" t="str">
        <f>SUBSTITUTE(LOWER(JC$1)," ","_") &amp; "_"</f>
        <v>bmw_x7_a-pillar_lh_line_2_</v>
      </c>
      <c r="IZ41" s="353"/>
      <c r="JG41" s="353" t="str">
        <f>SUBSTITUTE(LOWER(JK$1)," ","_") &amp; "_"</f>
        <v>bmw_x7_a-pillar_rh_line_2_</v>
      </c>
      <c r="JH41" s="353"/>
      <c r="JO41" s="353" t="str">
        <f>SUBSTITUTE(LOWER(JS$1)," ","_") &amp; "_"</f>
        <v>bmw_420d_gran_coupé_a-pillar_lh_line_2_</v>
      </c>
      <c r="JP41" s="353"/>
      <c r="JW41" s="353" t="str">
        <f>SUBSTITUTE(LOWER(KA$1)," ","_") &amp; "_"</f>
        <v>bmw_420d_gran_coupé_a-pillar_rh_line_2_</v>
      </c>
      <c r="JX41" s="353"/>
      <c r="KE41" s="353" t="str">
        <f>SUBSTITUTE(LOWER(KI$1)," ","_") &amp; "_"</f>
        <v>bmw_m550i_xdrive_a-pillar_lh_line_2_</v>
      </c>
      <c r="KF41" s="353"/>
      <c r="KM41" s="353" t="str">
        <f>SUBSTITUTE(LOWER(KQ$1)," ","_") &amp; "_"</f>
        <v>bmw_m550i_xdrive_a-pillar_rh_line_2_</v>
      </c>
      <c r="KN41" s="353"/>
      <c r="KU41" s="353" t="str">
        <f>SUBSTITUTE(LOWER(KY$1)," ","_") &amp; "_"</f>
        <v>mercedez_gle_53_c-pillar_lh_line_2_</v>
      </c>
      <c r="KV41" s="353"/>
      <c r="LC41" s="353" t="str">
        <f>SUBSTITUTE(LOWER(LG$1)," ","_") &amp; "_"</f>
        <v>mercedez_gle_53_c-pillar_rh_line_1_</v>
      </c>
      <c r="LD41" s="353"/>
      <c r="LK41" s="353" t="str">
        <f>SUBSTITUTE(LOWER(LO$1)," ","_") &amp; "_"</f>
        <v>mercedez_gle_580_c-pillar_lh_line_2_</v>
      </c>
      <c r="LL41" s="353"/>
      <c r="LS41" s="353" t="str">
        <f>SUBSTITUTE(LOWER(LW$1)," ","_") &amp; "_"</f>
        <v>mercedez_gle_580_c-pillar_rh_line_1_</v>
      </c>
      <c r="LT41" s="353"/>
      <c r="MA41" s="353" t="str">
        <f>SUBSTITUTE(LOWER(ME$1)," ","_") &amp; "_"</f>
        <v>mercedez_le_300_coupé_c-pillar_lh_line_2_</v>
      </c>
      <c r="MB41" s="353"/>
      <c r="MI41" s="353" t="str">
        <f>SUBSTITUTE(LOWER(MM$1)," ","_") &amp; "_"</f>
        <v>mercedez_le_300_coupé_c-pillar_rh_line_1_</v>
      </c>
      <c r="MJ41" s="353"/>
      <c r="MQ41" s="353" t="str">
        <f>SUBSTITUTE(LOWER(MU$1)," ","_") &amp; "_"</f>
        <v>bmw_x7_c-pillar_lh_line_2_</v>
      </c>
      <c r="MR41" s="353"/>
      <c r="MY41" s="353" t="str">
        <f>SUBSTITUTE(LOWER(NC$1)," ","_") &amp; "_"</f>
        <v>bmw_x7_c-pillar_rh_line_1_</v>
      </c>
      <c r="MZ41" s="353"/>
      <c r="NG41" s="353" t="str">
        <f>SUBSTITUTE(LOWER(NK$1)," ","_") &amp; "_"</f>
        <v>bmw_420d_gran_coupé_c-pillar_lh_line_2_</v>
      </c>
      <c r="NH41" s="353"/>
      <c r="NO41" s="353" t="str">
        <f>SUBSTITUTE(LOWER(NS$1)," ","_") &amp; "_"</f>
        <v>bmw_420d_gran_coupé_c-pillar_rh_line_1_</v>
      </c>
      <c r="NP41" s="353"/>
      <c r="NW41" s="353" t="str">
        <f>SUBSTITUTE(LOWER(OA$1)," ","_") &amp; "_"</f>
        <v>bmw_m550i_xdrive_c-pillar_lh_line_2_</v>
      </c>
      <c r="NX41" s="353"/>
      <c r="OE41" s="353" t="str">
        <f>SUBSTITUTE(LOWER(OI$1)," ","_") &amp; "_"</f>
        <v>bmw_m550i_xdrive_c-pillar_rh_line_1_</v>
      </c>
      <c r="OF41" s="353"/>
      <c r="OM41" s="353" t="str">
        <f>SUBSTITUTE(LOWER(OQ$1)," ","_") &amp; "_"</f>
        <v>mercedez_gle_53_ip_lhd_line_1_</v>
      </c>
      <c r="ON41" s="353"/>
      <c r="OU41" s="353" t="str">
        <f>SUBSTITUTE(LOWER(OY$1)," ","_") &amp; "_"</f>
        <v>mercedez_gle_53_ip_rhd_line_2_</v>
      </c>
      <c r="OV41" s="353"/>
      <c r="PC41" s="353" t="str">
        <f>SUBSTITUTE(LOWER(PG$1)," ","_") &amp; "_"</f>
        <v>mercedez_gle_580_ip_lhd_line_1_</v>
      </c>
      <c r="PD41" s="353"/>
      <c r="PK41" s="353" t="str">
        <f>SUBSTITUTE(LOWER(PO$1)," ","_") &amp; "_"</f>
        <v>mercedez_gle_580_ip_rhd_line_2_</v>
      </c>
      <c r="PL41" s="353"/>
      <c r="PS41" s="353" t="str">
        <f>SUBSTITUTE(LOWER(PW$1)," ","_") &amp; "_"</f>
        <v>mercedez_le_300_coupé_ip_lhd_line_1_</v>
      </c>
      <c r="PT41" s="353"/>
      <c r="QA41" s="353" t="str">
        <f>SUBSTITUTE(LOWER(QE$1)," ","_") &amp; "_"</f>
        <v>mercedez_le_300_coupé_ip_rhd_line_2_</v>
      </c>
      <c r="QB41" s="353"/>
      <c r="QI41" s="353" t="str">
        <f>SUBSTITUTE(LOWER(QM$1)," ","_") &amp; "_"</f>
        <v>bmw_x7_ip_lhd_line_2_</v>
      </c>
      <c r="QJ41" s="353"/>
      <c r="QQ41" s="353" t="str">
        <f>SUBSTITUTE(LOWER(QU$1)," ","_") &amp; "_"</f>
        <v>bmw_x7_ip_rhd_line_1_</v>
      </c>
      <c r="QR41" s="353"/>
      <c r="QY41" s="353" t="str">
        <f>SUBSTITUTE(LOWER(RC$1)," ","_") &amp; "_"</f>
        <v>bmw_420d_gran_coupé_ip_lhd_line_2_</v>
      </c>
      <c r="QZ41" s="353"/>
      <c r="RG41" s="353" t="str">
        <f>SUBSTITUTE(LOWER(RK$1)," ","_") &amp; "_"</f>
        <v>bmw_420d_gran_coupé_ip_rhd_line_1_</v>
      </c>
      <c r="RH41" s="353"/>
      <c r="RO41" s="353" t="str">
        <f>SUBSTITUTE(LOWER(RS$1)," ","_") &amp; "_"</f>
        <v>bmw_m550i_xdrive_ip_lhd_line_2_</v>
      </c>
      <c r="RP41" s="353"/>
      <c r="RW41" s="353" t="str">
        <f>SUBSTITUTE(LOWER(SA$1)," ","_") &amp; "_"</f>
        <v>bmw_m550i_xdrive_ip_rhd_line_1_</v>
      </c>
      <c r="RX41" s="353"/>
      <c r="SE41" s="353" t="str">
        <f>SUBSTITUTE(LOWER(SI$1)," ","_") &amp; "_"</f>
        <v>bmw_x7_a-pillar_lh_line_4_</v>
      </c>
      <c r="SF41" s="353"/>
      <c r="SM41" s="353" t="str">
        <f>SUBSTITUTE(LOWER(SQ$1)," ","_") &amp; "_"</f>
        <v>bmw_x7_a-pillar_rh_line_4_</v>
      </c>
      <c r="SN41" s="353"/>
      <c r="SU41" s="353" t="str">
        <f>SUBSTITUTE(LOWER(SY$1)," ","_") &amp; "_"</f>
        <v>bmw_420d_gran_coupé_a-pillar_lh_line_4_</v>
      </c>
      <c r="SV41" s="353"/>
      <c r="TC41" s="353" t="str">
        <f>SUBSTITUTE(LOWER(TG$1)," ","_") &amp; "_"</f>
        <v>bmw_420d_gran_coupé_a-pillar_rh_line_4_</v>
      </c>
      <c r="TD41" s="353"/>
      <c r="TK41" s="353" t="str">
        <f>SUBSTITUTE(LOWER(TO$1)," ","_") &amp; "_"</f>
        <v>bmw_m550i_xdrive_a-pillar_lh_line_4_</v>
      </c>
      <c r="TL41" s="353"/>
      <c r="TS41" s="353" t="str">
        <f>SUBSTITUTE(LOWER(TW$1)," ","_") &amp; "_"</f>
        <v>bmw_m550i_xdrive_a-pillar_rh_line_4_</v>
      </c>
      <c r="TT41" s="353"/>
      <c r="UA41" s="353" t="str">
        <f>SUBSTITUTE(LOWER(UE$1)," ","_") &amp; "_"</f>
        <v>mercedez_gle_53_c-pillar_lh_line_4_</v>
      </c>
      <c r="UB41" s="353"/>
      <c r="UI41" s="353" t="str">
        <f>SUBSTITUTE(LOWER(UM$1)," ","_") &amp; "_"</f>
        <v>mercedez_gle_53_c-pillar_rh_line_3_</v>
      </c>
      <c r="UJ41" s="353"/>
      <c r="UQ41" s="353" t="str">
        <f>SUBSTITUTE(LOWER(UU$1)," ","_") &amp; "_"</f>
        <v>mercedez_gle_580_c-pillar_lh_line_4_</v>
      </c>
      <c r="UR41" s="353"/>
      <c r="UY41" s="353" t="str">
        <f>SUBSTITUTE(LOWER(VC$1)," ","_") &amp; "_"</f>
        <v>mercedez_gle_580_c-pillar_rh_line_3_</v>
      </c>
      <c r="UZ41" s="353"/>
      <c r="VG41" s="353" t="str">
        <f>SUBSTITUTE(LOWER(VK$1)," ","_") &amp; "_"</f>
        <v>mercedez_le_300_coupé_c-pillar_lh_line_4_</v>
      </c>
      <c r="VH41" s="353"/>
      <c r="VO41" s="353" t="str">
        <f>SUBSTITUTE(LOWER(VS$1)," ","_") &amp; "_"</f>
        <v>mercedez_le_300_coupé_c-pillar_rh_line_3_</v>
      </c>
      <c r="VP41" s="353"/>
    </row>
    <row r="42" spans="3:591" x14ac:dyDescent="0.4">
      <c r="C42" s="1"/>
      <c r="D42" s="1"/>
      <c r="E42" s="1"/>
      <c r="F42" s="21"/>
      <c r="G42" s="22"/>
      <c r="H42" s="22"/>
      <c r="I42" s="1"/>
      <c r="J42" s="1"/>
      <c r="K42" s="1"/>
      <c r="L42" s="1"/>
      <c r="M42" s="1"/>
      <c r="Q42" s="1"/>
      <c r="R42" s="1"/>
      <c r="S42" s="1"/>
      <c r="T42" s="21"/>
      <c r="U42" s="22"/>
      <c r="V42" s="22"/>
      <c r="W42" s="1"/>
      <c r="X42" s="1"/>
      <c r="Y42" s="1"/>
      <c r="Z42" s="1"/>
      <c r="AA42" s="1"/>
      <c r="AE42" s="30" t="str">
        <f ca="1"/>
        <v>MERCEDEZ LE 300 Coupé C-Pillar RH LINE 1</v>
      </c>
      <c r="AF42" s="31">
        <f t="shared" ca="1" si="1"/>
        <v>1</v>
      </c>
      <c r="AJ42" s="11"/>
      <c r="AM42"/>
      <c r="AN42"/>
      <c r="AO42"/>
      <c r="AP42" s="118"/>
      <c r="AQ42" s="118"/>
      <c r="AR42" s="118"/>
      <c r="AS42" s="118"/>
      <c r="AT42" s="118"/>
      <c r="AU42" s="118"/>
      <c r="AV42" s="118"/>
      <c r="AW42" s="118"/>
      <c r="AX42" s="118"/>
      <c r="AY42" s="118"/>
      <c r="AZ42" s="118"/>
      <c r="BA42" s="118"/>
      <c r="BB42" s="118"/>
      <c r="BC42" s="118"/>
      <c r="BD42" s="118"/>
      <c r="BE42" s="11"/>
      <c r="BF42" s="11"/>
      <c r="BG42" s="11"/>
      <c r="BH42" s="11"/>
      <c r="BI42" s="11"/>
      <c r="BJ42" s="11"/>
      <c r="BO42" s="354" t="s">
        <v>38</v>
      </c>
      <c r="BP42" s="355"/>
      <c r="BW42" s="354" t="s">
        <v>38</v>
      </c>
      <c r="BX42" s="355"/>
      <c r="CM42" s="354" t="s">
        <v>38</v>
      </c>
      <c r="CN42" s="355"/>
      <c r="CU42" s="354" t="s">
        <v>38</v>
      </c>
      <c r="CV42" s="355"/>
      <c r="DC42" s="354" t="s">
        <v>38</v>
      </c>
      <c r="DD42" s="355"/>
      <c r="DK42" s="354" t="s">
        <v>38</v>
      </c>
      <c r="DL42" s="355"/>
      <c r="DS42" s="354" t="s">
        <v>38</v>
      </c>
      <c r="DT42" s="355"/>
      <c r="EA42" s="354" t="s">
        <v>38</v>
      </c>
      <c r="EB42" s="355"/>
      <c r="EI42" s="354" t="s">
        <v>38</v>
      </c>
      <c r="EJ42" s="355"/>
      <c r="EQ42" s="354" t="s">
        <v>38</v>
      </c>
      <c r="ER42" s="355"/>
      <c r="EY42" s="354" t="s">
        <v>38</v>
      </c>
      <c r="EZ42" s="355"/>
      <c r="FG42" s="354" t="s">
        <v>38</v>
      </c>
      <c r="FH42" s="355"/>
      <c r="FO42" s="354" t="s">
        <v>38</v>
      </c>
      <c r="FP42" s="355"/>
      <c r="FW42" s="354" t="s">
        <v>38</v>
      </c>
      <c r="FX42" s="355"/>
      <c r="GE42" s="354" t="s">
        <v>38</v>
      </c>
      <c r="GF42" s="355"/>
      <c r="GM42" s="354" t="s">
        <v>38</v>
      </c>
      <c r="GN42" s="355"/>
      <c r="GU42" s="354" t="s">
        <v>38</v>
      </c>
      <c r="GV42" s="355"/>
      <c r="HC42" s="354" t="s">
        <v>38</v>
      </c>
      <c r="HD42" s="355"/>
      <c r="HK42" s="354" t="s">
        <v>38</v>
      </c>
      <c r="HL42" s="355"/>
      <c r="HS42" s="354" t="s">
        <v>38</v>
      </c>
      <c r="HT42" s="355"/>
      <c r="IA42" s="354" t="s">
        <v>38</v>
      </c>
      <c r="IB42" s="355"/>
      <c r="II42" s="354" t="s">
        <v>38</v>
      </c>
      <c r="IJ42" s="355"/>
      <c r="IQ42" s="354" t="s">
        <v>38</v>
      </c>
      <c r="IR42" s="355"/>
      <c r="IY42" s="354" t="s">
        <v>38</v>
      </c>
      <c r="IZ42" s="355"/>
      <c r="JG42" s="354" t="s">
        <v>38</v>
      </c>
      <c r="JH42" s="355"/>
      <c r="JO42" s="354" t="s">
        <v>38</v>
      </c>
      <c r="JP42" s="355"/>
      <c r="JW42" s="354" t="s">
        <v>38</v>
      </c>
      <c r="JX42" s="355"/>
      <c r="KE42" s="354" t="s">
        <v>38</v>
      </c>
      <c r="KF42" s="355"/>
      <c r="KM42" s="354" t="s">
        <v>38</v>
      </c>
      <c r="KN42" s="355"/>
      <c r="KU42" s="354" t="s">
        <v>38</v>
      </c>
      <c r="KV42" s="355"/>
      <c r="LC42" s="354" t="s">
        <v>38</v>
      </c>
      <c r="LD42" s="355"/>
      <c r="LK42" s="354" t="s">
        <v>38</v>
      </c>
      <c r="LL42" s="355"/>
      <c r="LS42" s="354" t="s">
        <v>38</v>
      </c>
      <c r="LT42" s="355"/>
      <c r="MA42" s="354" t="s">
        <v>38</v>
      </c>
      <c r="MB42" s="355"/>
      <c r="MI42" s="354" t="s">
        <v>38</v>
      </c>
      <c r="MJ42" s="355"/>
      <c r="MQ42" s="354" t="s">
        <v>38</v>
      </c>
      <c r="MR42" s="355"/>
      <c r="MY42" s="354" t="s">
        <v>38</v>
      </c>
      <c r="MZ42" s="355"/>
      <c r="NG42" s="354" t="s">
        <v>38</v>
      </c>
      <c r="NH42" s="355"/>
      <c r="NO42" s="354" t="s">
        <v>38</v>
      </c>
      <c r="NP42" s="355"/>
      <c r="NW42" s="354" t="s">
        <v>38</v>
      </c>
      <c r="NX42" s="355"/>
      <c r="OE42" s="354" t="s">
        <v>38</v>
      </c>
      <c r="OF42" s="355"/>
      <c r="OM42" s="354" t="s">
        <v>38</v>
      </c>
      <c r="ON42" s="355"/>
      <c r="OU42" s="354" t="s">
        <v>38</v>
      </c>
      <c r="OV42" s="355"/>
      <c r="PC42" s="354" t="s">
        <v>38</v>
      </c>
      <c r="PD42" s="355"/>
      <c r="PK42" s="354" t="s">
        <v>38</v>
      </c>
      <c r="PL42" s="355"/>
      <c r="PS42" s="354" t="s">
        <v>38</v>
      </c>
      <c r="PT42" s="355"/>
      <c r="QA42" s="354" t="s">
        <v>38</v>
      </c>
      <c r="QB42" s="355"/>
      <c r="QI42" s="354" t="s">
        <v>38</v>
      </c>
      <c r="QJ42" s="355"/>
      <c r="QQ42" s="354" t="s">
        <v>38</v>
      </c>
      <c r="QR42" s="355"/>
      <c r="QY42" s="354" t="s">
        <v>38</v>
      </c>
      <c r="QZ42" s="355"/>
      <c r="RG42" s="354" t="s">
        <v>38</v>
      </c>
      <c r="RH42" s="355"/>
      <c r="RO42" s="354" t="s">
        <v>38</v>
      </c>
      <c r="RP42" s="355"/>
      <c r="RW42" s="354" t="s">
        <v>38</v>
      </c>
      <c r="RX42" s="355"/>
      <c r="SE42" s="354" t="s">
        <v>38</v>
      </c>
      <c r="SF42" s="355"/>
      <c r="SM42" s="354" t="s">
        <v>38</v>
      </c>
      <c r="SN42" s="355"/>
      <c r="SU42" s="354" t="s">
        <v>38</v>
      </c>
      <c r="SV42" s="355"/>
      <c r="TC42" s="354" t="s">
        <v>38</v>
      </c>
      <c r="TD42" s="355"/>
      <c r="TK42" s="354" t="s">
        <v>38</v>
      </c>
      <c r="TL42" s="355"/>
      <c r="TS42" s="354" t="s">
        <v>38</v>
      </c>
      <c r="TT42" s="355"/>
      <c r="UA42" s="354" t="s">
        <v>38</v>
      </c>
      <c r="UB42" s="355"/>
      <c r="UI42" s="354" t="s">
        <v>38</v>
      </c>
      <c r="UJ42" s="355"/>
      <c r="UQ42" s="354" t="s">
        <v>38</v>
      </c>
      <c r="UR42" s="355"/>
      <c r="UY42" s="354" t="s">
        <v>38</v>
      </c>
      <c r="UZ42" s="355"/>
      <c r="VG42" s="354" t="s">
        <v>38</v>
      </c>
      <c r="VH42" s="355"/>
      <c r="VO42" s="354" t="s">
        <v>38</v>
      </c>
      <c r="VP42" s="355"/>
    </row>
    <row r="43" spans="3:591" x14ac:dyDescent="0.4">
      <c r="C43" s="1"/>
      <c r="D43" s="1"/>
      <c r="E43" s="1"/>
      <c r="F43" s="21"/>
      <c r="G43" s="22"/>
      <c r="H43" s="22"/>
      <c r="I43" s="1"/>
      <c r="J43" s="1"/>
      <c r="K43" s="1"/>
      <c r="L43" s="1"/>
      <c r="M43" s="1"/>
      <c r="Q43" s="1"/>
      <c r="R43" s="1"/>
      <c r="S43" s="1"/>
      <c r="T43" s="21"/>
      <c r="U43" s="22"/>
      <c r="V43" s="22"/>
      <c r="W43" s="1"/>
      <c r="X43" s="1"/>
      <c r="Y43" s="1"/>
      <c r="Z43" s="1"/>
      <c r="AA43" s="1"/>
      <c r="AE43" s="30" t="str">
        <f ca="1"/>
        <v>BMW X7 C-Pillar LH LINE 2</v>
      </c>
      <c r="AF43" s="31">
        <f t="shared" ca="1" si="1"/>
        <v>1</v>
      </c>
      <c r="AJ43" s="11"/>
      <c r="AM43"/>
      <c r="AN43"/>
      <c r="AO43"/>
      <c r="AP43" s="118"/>
      <c r="AQ43" s="118"/>
      <c r="AR43" s="118"/>
      <c r="AS43" s="118"/>
      <c r="AT43" s="118"/>
      <c r="AU43" s="118"/>
      <c r="AV43" s="118"/>
      <c r="AW43" s="118"/>
      <c r="AX43" s="118"/>
      <c r="AY43" s="118"/>
      <c r="AZ43" s="118"/>
      <c r="BA43" s="118"/>
      <c r="BB43" s="118"/>
      <c r="BC43" s="118"/>
      <c r="BD43" s="118"/>
      <c r="BE43" s="11"/>
      <c r="BF43" s="11"/>
      <c r="BG43" s="11"/>
      <c r="BH43" s="11"/>
      <c r="BI43" s="11"/>
      <c r="BJ43" s="11"/>
      <c r="BO43" s="33" t="s">
        <v>31</v>
      </c>
      <c r="BP43" s="85">
        <v>137</v>
      </c>
      <c r="BW43" s="33" t="s">
        <v>31</v>
      </c>
      <c r="BX43" s="85">
        <v>251</v>
      </c>
      <c r="CM43" s="33" t="s">
        <v>31</v>
      </c>
      <c r="CN43" s="85">
        <v>116</v>
      </c>
      <c r="CU43" s="33" t="s">
        <v>31</v>
      </c>
      <c r="CV43" s="85">
        <v>95</v>
      </c>
      <c r="DC43" s="33" t="s">
        <v>31</v>
      </c>
      <c r="DD43" s="85">
        <v>96</v>
      </c>
      <c r="DK43" s="33" t="s">
        <v>31</v>
      </c>
      <c r="DL43" s="85">
        <v>198</v>
      </c>
      <c r="DS43" s="33" t="s">
        <v>31</v>
      </c>
      <c r="DT43" s="85">
        <v>146</v>
      </c>
      <c r="EA43" s="33" t="s">
        <v>31</v>
      </c>
      <c r="EB43" s="85">
        <v>139</v>
      </c>
      <c r="EI43" s="33" t="s">
        <v>31</v>
      </c>
      <c r="EJ43" s="85">
        <v>154</v>
      </c>
      <c r="EQ43" s="33" t="s">
        <v>31</v>
      </c>
      <c r="ER43" s="85">
        <v>230</v>
      </c>
      <c r="EY43" s="33" t="s">
        <v>31</v>
      </c>
      <c r="EZ43" s="85">
        <v>165</v>
      </c>
      <c r="FG43" s="33" t="s">
        <v>31</v>
      </c>
      <c r="FH43" s="85">
        <v>144</v>
      </c>
      <c r="FO43" s="33" t="s">
        <v>31</v>
      </c>
      <c r="FP43" s="85">
        <v>141</v>
      </c>
      <c r="FW43" s="33" t="s">
        <v>31</v>
      </c>
      <c r="FX43" s="85">
        <v>307</v>
      </c>
      <c r="GE43" s="33" t="s">
        <v>31</v>
      </c>
      <c r="GF43" s="85">
        <v>319</v>
      </c>
      <c r="GM43" s="33" t="s">
        <v>31</v>
      </c>
      <c r="GN43" s="85">
        <v>219</v>
      </c>
      <c r="GU43" s="33" t="s">
        <v>31</v>
      </c>
      <c r="GV43" s="85">
        <v>222</v>
      </c>
      <c r="HC43" s="33" t="s">
        <v>31</v>
      </c>
      <c r="HD43" s="85">
        <v>325</v>
      </c>
      <c r="HK43" s="33" t="s">
        <v>31</v>
      </c>
      <c r="HL43" s="85">
        <v>336</v>
      </c>
      <c r="HS43" s="33" t="s">
        <v>31</v>
      </c>
      <c r="HT43" s="85">
        <v>287</v>
      </c>
      <c r="IA43" s="33" t="s">
        <v>31</v>
      </c>
      <c r="IB43" s="85">
        <v>286</v>
      </c>
      <c r="II43" s="33" t="s">
        <v>31</v>
      </c>
      <c r="IJ43" s="85">
        <v>141</v>
      </c>
      <c r="IQ43" s="33" t="s">
        <v>31</v>
      </c>
      <c r="IR43" s="85">
        <v>269</v>
      </c>
      <c r="IY43" s="33" t="s">
        <v>31</v>
      </c>
      <c r="IZ43" s="85">
        <v>63</v>
      </c>
      <c r="JG43" s="33" t="s">
        <v>31</v>
      </c>
      <c r="JH43" s="85">
        <v>126</v>
      </c>
      <c r="JO43" s="33" t="s">
        <v>31</v>
      </c>
      <c r="JP43" s="85">
        <v>86</v>
      </c>
      <c r="JW43" s="33" t="s">
        <v>31</v>
      </c>
      <c r="JX43" s="85">
        <v>174</v>
      </c>
      <c r="KE43" s="33" t="s">
        <v>31</v>
      </c>
      <c r="KF43" s="85">
        <v>254</v>
      </c>
      <c r="KM43" s="33" t="s">
        <v>31</v>
      </c>
      <c r="KN43" s="85">
        <v>292</v>
      </c>
      <c r="KU43" s="33" t="s">
        <v>31</v>
      </c>
      <c r="KV43" s="85">
        <v>225</v>
      </c>
      <c r="LC43" s="33" t="s">
        <v>31</v>
      </c>
      <c r="LD43" s="85">
        <v>213</v>
      </c>
      <c r="LK43" s="33" t="s">
        <v>31</v>
      </c>
      <c r="LL43" s="85">
        <v>193</v>
      </c>
      <c r="LS43" s="33" t="s">
        <v>31</v>
      </c>
      <c r="LT43" s="85">
        <v>273</v>
      </c>
      <c r="MA43" s="33" t="s">
        <v>31</v>
      </c>
      <c r="MB43" s="85">
        <v>243</v>
      </c>
      <c r="MI43" s="33" t="s">
        <v>31</v>
      </c>
      <c r="MJ43" s="85">
        <v>53</v>
      </c>
      <c r="MQ43" s="33" t="s">
        <v>31</v>
      </c>
      <c r="MR43" s="85">
        <v>266</v>
      </c>
      <c r="MY43" s="33" t="s">
        <v>31</v>
      </c>
      <c r="MZ43" s="85">
        <v>116</v>
      </c>
      <c r="NG43" s="33" t="s">
        <v>31</v>
      </c>
      <c r="NH43" s="85">
        <v>81</v>
      </c>
      <c r="NO43" s="33" t="s">
        <v>31</v>
      </c>
      <c r="NP43" s="85">
        <v>169</v>
      </c>
      <c r="NW43" s="33" t="s">
        <v>31</v>
      </c>
      <c r="NX43" s="85">
        <v>109</v>
      </c>
      <c r="OE43" s="33" t="s">
        <v>31</v>
      </c>
      <c r="OF43" s="85">
        <v>216</v>
      </c>
      <c r="OM43" s="33" t="s">
        <v>31</v>
      </c>
      <c r="ON43" s="85">
        <v>299</v>
      </c>
      <c r="OU43" s="33" t="s">
        <v>31</v>
      </c>
      <c r="OV43" s="85">
        <v>287</v>
      </c>
      <c r="PC43" s="33" t="s">
        <v>31</v>
      </c>
      <c r="PD43" s="85">
        <v>50</v>
      </c>
      <c r="PK43" s="33" t="s">
        <v>31</v>
      </c>
      <c r="PL43" s="85">
        <v>238</v>
      </c>
      <c r="PS43" s="33" t="s">
        <v>31</v>
      </c>
      <c r="PT43" s="85">
        <v>66</v>
      </c>
      <c r="QA43" s="33" t="s">
        <v>31</v>
      </c>
      <c r="QB43" s="85">
        <v>213</v>
      </c>
      <c r="QI43" s="33" t="s">
        <v>31</v>
      </c>
      <c r="QJ43" s="85">
        <v>321</v>
      </c>
      <c r="QQ43" s="33" t="s">
        <v>31</v>
      </c>
      <c r="QR43" s="85">
        <v>98</v>
      </c>
      <c r="QY43" s="33" t="s">
        <v>31</v>
      </c>
      <c r="QZ43" s="85">
        <v>301</v>
      </c>
      <c r="RG43" s="33" t="s">
        <v>31</v>
      </c>
      <c r="RH43" s="85">
        <v>109</v>
      </c>
      <c r="RO43" s="33" t="s">
        <v>31</v>
      </c>
      <c r="RP43" s="85">
        <v>144</v>
      </c>
      <c r="RW43" s="33" t="s">
        <v>31</v>
      </c>
      <c r="RX43" s="85">
        <v>108</v>
      </c>
      <c r="SE43" s="33" t="s">
        <v>31</v>
      </c>
      <c r="SF43" s="85">
        <v>226</v>
      </c>
      <c r="SM43" s="33" t="s">
        <v>31</v>
      </c>
      <c r="SN43" s="85">
        <v>304</v>
      </c>
      <c r="SU43" s="33" t="s">
        <v>31</v>
      </c>
      <c r="SV43" s="85">
        <v>212</v>
      </c>
      <c r="TC43" s="33" t="s">
        <v>31</v>
      </c>
      <c r="TD43" s="85">
        <v>295</v>
      </c>
      <c r="TK43" s="33" t="s">
        <v>31</v>
      </c>
      <c r="TL43" s="85">
        <v>145</v>
      </c>
      <c r="TS43" s="33" t="s">
        <v>31</v>
      </c>
      <c r="TT43" s="85">
        <v>180</v>
      </c>
      <c r="UA43" s="33" t="s">
        <v>31</v>
      </c>
      <c r="UB43" s="85">
        <v>340</v>
      </c>
      <c r="UI43" s="33" t="s">
        <v>31</v>
      </c>
      <c r="UJ43" s="85">
        <v>198</v>
      </c>
      <c r="UQ43" s="33" t="s">
        <v>31</v>
      </c>
      <c r="UR43" s="85">
        <v>241</v>
      </c>
      <c r="UY43" s="33" t="s">
        <v>31</v>
      </c>
      <c r="UZ43" s="85">
        <v>57</v>
      </c>
      <c r="VG43" s="33" t="s">
        <v>31</v>
      </c>
      <c r="VH43" s="85">
        <v>149</v>
      </c>
      <c r="VO43" s="33" t="s">
        <v>31</v>
      </c>
      <c r="VP43" s="85">
        <v>230</v>
      </c>
    </row>
    <row r="44" spans="3:591" x14ac:dyDescent="0.4">
      <c r="C44" s="1"/>
      <c r="D44" s="1"/>
      <c r="E44" s="1"/>
      <c r="F44" s="21"/>
      <c r="G44" s="22"/>
      <c r="H44" s="22"/>
      <c r="I44" s="1"/>
      <c r="J44" s="1"/>
      <c r="K44" s="1"/>
      <c r="L44" s="1"/>
      <c r="M44" s="1"/>
      <c r="Q44" s="1"/>
      <c r="R44" s="1"/>
      <c r="S44" s="1"/>
      <c r="T44" s="21"/>
      <c r="U44" s="22"/>
      <c r="V44" s="22"/>
      <c r="W44" s="1"/>
      <c r="X44" s="1"/>
      <c r="Y44" s="1"/>
      <c r="Z44" s="1"/>
      <c r="AA44" s="1"/>
      <c r="AE44" s="30" t="str">
        <f ca="1"/>
        <v>BMW X7 C-Pillar RH LINE 1</v>
      </c>
      <c r="AF44" s="31">
        <f t="shared" ca="1" si="1"/>
        <v>1</v>
      </c>
      <c r="AJ44" s="11"/>
      <c r="AM44"/>
      <c r="AN44"/>
      <c r="AO44"/>
      <c r="AP44" s="118"/>
      <c r="AQ44" s="118"/>
      <c r="AR44" s="118"/>
      <c r="AS44" s="118"/>
      <c r="AT44" s="118"/>
      <c r="AU44" s="118"/>
      <c r="AV44" s="118"/>
      <c r="AW44" s="118"/>
      <c r="AX44" s="118"/>
      <c r="AY44" s="118"/>
      <c r="AZ44" s="118"/>
      <c r="BA44" s="118"/>
      <c r="BB44" s="118"/>
      <c r="BC44" s="118"/>
      <c r="BD44" s="118"/>
      <c r="BE44" s="11"/>
      <c r="BF44" s="11"/>
      <c r="BG44" s="11"/>
      <c r="BH44" s="11"/>
      <c r="BI44" s="11"/>
      <c r="BJ44" s="11"/>
      <c r="BQ44"/>
      <c r="BY44"/>
      <c r="CF44"/>
      <c r="CG44"/>
      <c r="CO44"/>
      <c r="CU44" s="34"/>
      <c r="CV44"/>
      <c r="CW44"/>
      <c r="DE44"/>
      <c r="DK44" s="34"/>
      <c r="DL44"/>
      <c r="DM44"/>
      <c r="DS44" s="34"/>
      <c r="DT44"/>
      <c r="DU44"/>
      <c r="EA44" s="34"/>
      <c r="EB44"/>
      <c r="EC44"/>
      <c r="EI44" s="34"/>
      <c r="EJ44"/>
      <c r="EK44"/>
      <c r="EQ44" s="34"/>
      <c r="ER44"/>
      <c r="ES44"/>
      <c r="EY44" s="34"/>
      <c r="EZ44"/>
      <c r="FA44"/>
      <c r="FG44" s="34"/>
      <c r="FH44"/>
      <c r="FI44"/>
      <c r="FO44" s="34"/>
      <c r="FP44"/>
      <c r="FQ44"/>
      <c r="FW44" s="34"/>
      <c r="FX44"/>
      <c r="FY44"/>
      <c r="GE44" s="34"/>
      <c r="GF44"/>
      <c r="GG44"/>
      <c r="GM44" s="34"/>
      <c r="GN44"/>
      <c r="GO44"/>
      <c r="GU44" s="34"/>
      <c r="GV44"/>
      <c r="GW44"/>
      <c r="HC44" s="34"/>
      <c r="HD44"/>
      <c r="HE44"/>
      <c r="HK44" s="34"/>
      <c r="HL44"/>
      <c r="HM44"/>
      <c r="HS44" s="34"/>
      <c r="HT44"/>
      <c r="HU44"/>
      <c r="IA44" s="34"/>
      <c r="IB44"/>
      <c r="IC44"/>
      <c r="II44" s="34"/>
      <c r="IJ44"/>
      <c r="IK44"/>
      <c r="IQ44" s="34"/>
      <c r="IR44"/>
      <c r="IS44"/>
      <c r="IY44" s="34"/>
      <c r="IZ44"/>
      <c r="JA44"/>
      <c r="JG44" s="34"/>
      <c r="JH44"/>
      <c r="JI44"/>
      <c r="JO44" s="34"/>
      <c r="JP44"/>
      <c r="JQ44"/>
      <c r="JW44" s="34"/>
      <c r="JX44"/>
      <c r="JY44"/>
      <c r="KE44" s="34"/>
      <c r="KF44"/>
      <c r="KG44"/>
      <c r="KM44" s="34"/>
      <c r="KN44"/>
      <c r="KO44"/>
      <c r="KU44" s="34"/>
      <c r="KV44"/>
      <c r="KW44"/>
      <c r="LC44" s="34"/>
      <c r="LD44"/>
      <c r="LE44"/>
      <c r="LK44" s="34"/>
      <c r="LL44"/>
      <c r="LM44"/>
      <c r="LS44" s="34"/>
      <c r="LT44"/>
      <c r="LU44"/>
      <c r="MA44" s="34"/>
      <c r="MB44"/>
      <c r="MC44"/>
      <c r="MI44" s="34"/>
      <c r="MJ44"/>
      <c r="MK44"/>
      <c r="MQ44" s="34"/>
      <c r="MR44"/>
      <c r="MS44"/>
      <c r="MY44" s="34"/>
      <c r="MZ44"/>
      <c r="NA44"/>
      <c r="NG44" s="34"/>
      <c r="NH44"/>
      <c r="NI44"/>
      <c r="NO44" s="34"/>
      <c r="NP44"/>
      <c r="NQ44"/>
      <c r="NW44" s="34"/>
      <c r="NX44"/>
      <c r="NY44"/>
      <c r="OE44" s="34"/>
      <c r="OF44"/>
      <c r="OG44"/>
      <c r="OM44" s="34"/>
      <c r="ON44"/>
      <c r="OO44"/>
      <c r="OU44" s="34"/>
      <c r="OV44"/>
      <c r="OW44"/>
      <c r="PC44" s="34"/>
      <c r="PD44"/>
      <c r="PE44"/>
      <c r="PK44" s="34"/>
      <c r="PL44"/>
      <c r="PM44"/>
      <c r="PS44" s="34"/>
      <c r="PT44"/>
      <c r="PU44"/>
      <c r="QA44" s="34"/>
      <c r="QB44"/>
      <c r="QC44"/>
      <c r="QI44" s="34"/>
      <c r="QJ44"/>
      <c r="QK44"/>
      <c r="QQ44" s="34"/>
      <c r="QR44"/>
      <c r="QS44"/>
      <c r="QY44" s="34"/>
      <c r="QZ44"/>
      <c r="RA44"/>
      <c r="RG44" s="34"/>
      <c r="RH44"/>
      <c r="RI44"/>
      <c r="RO44" s="34"/>
      <c r="RP44"/>
      <c r="RQ44"/>
      <c r="RW44" s="34"/>
      <c r="RX44"/>
      <c r="RY44"/>
      <c r="SE44" s="34"/>
      <c r="SF44"/>
      <c r="SG44"/>
      <c r="SM44" s="34"/>
      <c r="SN44"/>
      <c r="SO44"/>
      <c r="SU44" s="34"/>
      <c r="SV44"/>
      <c r="SW44"/>
      <c r="TC44" s="34"/>
      <c r="TD44"/>
      <c r="TE44"/>
      <c r="TK44" s="34"/>
      <c r="TL44"/>
      <c r="TM44"/>
      <c r="TS44" s="34"/>
      <c r="TT44"/>
      <c r="TU44"/>
      <c r="UA44" s="34"/>
      <c r="UB44"/>
      <c r="UC44"/>
      <c r="UI44" s="34"/>
      <c r="UJ44"/>
      <c r="UK44"/>
      <c r="UQ44" s="34"/>
      <c r="UR44"/>
      <c r="US44"/>
      <c r="UY44" s="34"/>
      <c r="UZ44"/>
      <c r="VA44"/>
      <c r="VG44" s="34"/>
      <c r="VH44"/>
      <c r="VI44"/>
      <c r="VO44" s="34"/>
      <c r="VP44"/>
      <c r="VQ44"/>
    </row>
    <row r="45" spans="3:591" x14ac:dyDescent="0.4">
      <c r="C45" s="1"/>
      <c r="D45" s="1"/>
      <c r="E45" s="1"/>
      <c r="F45" s="21"/>
      <c r="G45" s="22"/>
      <c r="H45" s="22"/>
      <c r="I45" s="1"/>
      <c r="J45" s="1"/>
      <c r="K45" s="1"/>
      <c r="L45" s="1"/>
      <c r="M45" s="1"/>
      <c r="Q45" s="1"/>
      <c r="R45" s="1"/>
      <c r="S45" s="1"/>
      <c r="T45" s="21"/>
      <c r="U45" s="22"/>
      <c r="V45" s="22"/>
      <c r="W45" s="1"/>
      <c r="X45" s="1"/>
      <c r="Y45" s="1"/>
      <c r="Z45" s="1"/>
      <c r="AA45" s="1"/>
      <c r="AE45" s="30" t="str">
        <f ca="1"/>
        <v>BMW 420d Gran Coupé C-Pillar LH LINE 2</v>
      </c>
      <c r="AF45" s="31">
        <f t="shared" ca="1" si="1"/>
        <v>1</v>
      </c>
      <c r="AJ45" s="11"/>
      <c r="AM45"/>
      <c r="AN45"/>
      <c r="AO45"/>
      <c r="AP45" s="118"/>
      <c r="AQ45" s="118"/>
      <c r="AR45" s="118"/>
      <c r="AS45" s="118"/>
      <c r="AT45" s="118"/>
      <c r="AU45" s="118"/>
      <c r="AV45" s="118"/>
      <c r="AW45" s="118"/>
      <c r="AX45" s="118"/>
      <c r="AY45" s="118"/>
      <c r="AZ45" s="118"/>
      <c r="BA45" s="118"/>
      <c r="BB45" s="118"/>
      <c r="BC45" s="118"/>
      <c r="BD45" s="118"/>
      <c r="BE45" s="11"/>
      <c r="BF45" s="11"/>
      <c r="BG45" s="11"/>
      <c r="BH45" s="11"/>
      <c r="BI45" s="11"/>
      <c r="BJ45" s="11"/>
    </row>
    <row r="46" spans="3:591" x14ac:dyDescent="0.4">
      <c r="C46" s="1"/>
      <c r="D46" s="1"/>
      <c r="E46" s="1"/>
      <c r="F46" s="24"/>
      <c r="G46" s="25"/>
      <c r="H46" s="25"/>
      <c r="I46" s="1"/>
      <c r="J46" s="1"/>
      <c r="K46" s="1"/>
      <c r="L46" s="1"/>
      <c r="M46" s="1"/>
      <c r="Q46" s="1"/>
      <c r="R46" s="1"/>
      <c r="S46" s="1"/>
      <c r="T46" s="24"/>
      <c r="U46" s="25"/>
      <c r="V46" s="25"/>
      <c r="W46" s="1"/>
      <c r="X46" s="1"/>
      <c r="Y46" s="1"/>
      <c r="Z46" s="1"/>
      <c r="AA46" s="1"/>
      <c r="AE46" s="30" t="str">
        <f ca="1"/>
        <v>BMW 420d Gran Coupé C-Pillar RH LINE 1</v>
      </c>
      <c r="AF46" s="31">
        <f t="shared" ca="1" si="1"/>
        <v>1</v>
      </c>
      <c r="AJ46" s="11"/>
      <c r="AM46"/>
      <c r="AN46"/>
      <c r="AO46"/>
      <c r="AP46" s="118"/>
      <c r="AQ46" s="118"/>
      <c r="AR46" s="118"/>
      <c r="AS46" s="118"/>
      <c r="AT46" s="118"/>
      <c r="AU46" s="118"/>
      <c r="AV46" s="118"/>
      <c r="AW46" s="118"/>
      <c r="AX46" s="118"/>
      <c r="AY46" s="118"/>
      <c r="AZ46" s="118"/>
      <c r="BA46" s="118"/>
      <c r="BB46" s="118"/>
      <c r="BC46" s="118"/>
      <c r="BD46" s="118"/>
      <c r="BE46" s="11"/>
      <c r="BF46" s="11"/>
      <c r="BG46" s="11"/>
      <c r="BH46" s="11"/>
      <c r="BI46" s="11"/>
      <c r="BJ46" s="11"/>
    </row>
    <row r="47" spans="3:591" x14ac:dyDescent="0.4">
      <c r="C47" s="1"/>
      <c r="D47" s="1"/>
      <c r="E47" s="1"/>
      <c r="F47" s="24"/>
      <c r="G47" s="25"/>
      <c r="H47" s="25"/>
      <c r="I47" s="1"/>
      <c r="J47" s="1"/>
      <c r="K47" s="1"/>
      <c r="L47" s="1"/>
      <c r="M47" s="1"/>
      <c r="Q47" s="1"/>
      <c r="R47" s="1"/>
      <c r="S47" s="1"/>
      <c r="T47" s="24"/>
      <c r="U47" s="25"/>
      <c r="V47" s="25"/>
      <c r="W47" s="1"/>
      <c r="X47" s="1"/>
      <c r="Y47" s="1"/>
      <c r="Z47" s="1"/>
      <c r="AA47" s="1"/>
      <c r="AE47" s="30" t="str">
        <f ca="1"/>
        <v>BMW M550i xDrive C-Pillar LH LINE 2</v>
      </c>
      <c r="AF47" s="31">
        <f t="shared" ca="1" si="1"/>
        <v>1</v>
      </c>
      <c r="AJ47" s="11"/>
      <c r="AM47"/>
      <c r="AN47"/>
      <c r="AO47"/>
      <c r="AP47" s="118"/>
      <c r="AQ47" s="118"/>
      <c r="AR47" s="118"/>
      <c r="AS47" s="118"/>
      <c r="AT47" s="118"/>
      <c r="AU47" s="118"/>
      <c r="AV47" s="118"/>
      <c r="AW47" s="118"/>
      <c r="AX47" s="118"/>
      <c r="AY47" s="118"/>
      <c r="AZ47" s="118"/>
      <c r="BA47" s="118"/>
      <c r="BB47" s="118"/>
      <c r="BC47" s="118"/>
      <c r="BD47" s="118"/>
      <c r="BE47" s="11"/>
      <c r="BF47" s="11"/>
      <c r="BG47" s="11"/>
      <c r="BH47" s="11"/>
      <c r="BI47" s="11"/>
      <c r="BJ47" s="11"/>
    </row>
    <row r="48" spans="3:591" x14ac:dyDescent="0.4">
      <c r="C48" s="1"/>
      <c r="D48" s="1"/>
      <c r="E48" s="1"/>
      <c r="F48" s="24"/>
      <c r="G48" s="25"/>
      <c r="H48" s="25"/>
      <c r="I48" s="1"/>
      <c r="J48" s="1"/>
      <c r="K48" s="1"/>
      <c r="L48" s="1"/>
      <c r="M48" s="1"/>
      <c r="Q48" s="1"/>
      <c r="R48" s="1"/>
      <c r="S48" s="1"/>
      <c r="T48" s="24"/>
      <c r="U48" s="25"/>
      <c r="V48" s="25"/>
      <c r="W48" s="1"/>
      <c r="X48" s="1"/>
      <c r="Y48" s="1"/>
      <c r="Z48" s="1"/>
      <c r="AA48" s="1"/>
      <c r="AE48" s="30" t="str">
        <f ca="1"/>
        <v>BMW M550i xDrive C-Pillar RH LINE 1</v>
      </c>
      <c r="AF48" s="31">
        <f t="shared" ca="1" si="1"/>
        <v>1</v>
      </c>
      <c r="AJ48" s="11"/>
      <c r="AM48"/>
      <c r="AN48"/>
      <c r="AO48"/>
      <c r="AP48" s="118"/>
      <c r="AQ48" s="118"/>
      <c r="AR48" s="118"/>
      <c r="AS48" s="118"/>
      <c r="AT48" s="118"/>
      <c r="AU48" s="118"/>
      <c r="AV48" s="118"/>
      <c r="AW48" s="118"/>
      <c r="AX48" s="118"/>
      <c r="AY48" s="118"/>
      <c r="AZ48" s="118"/>
      <c r="BA48" s="118"/>
      <c r="BB48" s="118"/>
      <c r="BC48" s="118"/>
      <c r="BD48" s="118"/>
      <c r="BE48" s="11"/>
      <c r="BF48" s="11"/>
      <c r="BG48" s="11"/>
      <c r="BH48" s="11"/>
      <c r="BI48" s="11"/>
      <c r="BJ48" s="11"/>
    </row>
    <row r="49" spans="3:62" x14ac:dyDescent="0.4">
      <c r="C49" s="1"/>
      <c r="D49" s="1"/>
      <c r="E49" s="1"/>
      <c r="F49" s="26"/>
      <c r="G49" s="27"/>
      <c r="H49" s="27"/>
      <c r="I49" s="1"/>
      <c r="J49" s="1"/>
      <c r="K49" s="1"/>
      <c r="L49" s="1"/>
      <c r="M49" s="1"/>
      <c r="Q49" s="1"/>
      <c r="R49" s="1"/>
      <c r="S49" s="1"/>
      <c r="T49" s="26"/>
      <c r="U49" s="27"/>
      <c r="V49" s="27"/>
      <c r="W49" s="1"/>
      <c r="X49" s="1"/>
      <c r="Y49" s="1"/>
      <c r="Z49" s="1"/>
      <c r="AA49" s="1"/>
      <c r="AE49" s="30" t="str">
        <f ca="1"/>
        <v>MERCEDEZ GLE 53 IP LHD LINE 1</v>
      </c>
      <c r="AF49" s="31">
        <f t="shared" ca="1" si="1"/>
        <v>1</v>
      </c>
      <c r="AJ49" s="11"/>
      <c r="AM49"/>
      <c r="AN49"/>
      <c r="AO49"/>
      <c r="AP49" s="118"/>
      <c r="AQ49" s="118"/>
      <c r="AR49" s="118"/>
      <c r="AS49" s="118"/>
      <c r="AT49" s="118"/>
      <c r="AU49" s="118"/>
      <c r="AV49" s="118"/>
      <c r="AW49" s="118"/>
      <c r="AX49" s="118"/>
      <c r="AY49" s="118"/>
      <c r="AZ49" s="118"/>
      <c r="BA49" s="118"/>
      <c r="BB49" s="118"/>
      <c r="BC49" s="118"/>
      <c r="BD49" s="118"/>
      <c r="BE49" s="11"/>
      <c r="BF49" s="11"/>
      <c r="BG49" s="11"/>
      <c r="BH49" s="11"/>
      <c r="BI49" s="11"/>
      <c r="BJ49" s="11"/>
    </row>
    <row r="50" spans="3:62" x14ac:dyDescent="0.4">
      <c r="C50" s="1"/>
      <c r="D50" s="1"/>
      <c r="E50" s="1"/>
      <c r="F50" s="1"/>
      <c r="G50" s="1"/>
      <c r="H50" s="1"/>
      <c r="I50" s="1"/>
      <c r="J50" s="1"/>
      <c r="K50" s="1"/>
      <c r="L50" s="1"/>
      <c r="M50" s="1"/>
      <c r="Q50" s="1"/>
      <c r="R50" s="1"/>
      <c r="S50" s="1"/>
      <c r="T50" s="1"/>
      <c r="U50" s="1"/>
      <c r="V50" s="1"/>
      <c r="W50" s="1"/>
      <c r="X50" s="1"/>
      <c r="Y50" s="1"/>
      <c r="Z50" s="1"/>
      <c r="AA50" s="1"/>
      <c r="AE50" s="30" t="str">
        <f ca="1"/>
        <v>MERCEDEZ GLE 53 IP RHD LINE 2</v>
      </c>
      <c r="AF50" s="31">
        <f t="shared" ca="1" si="1"/>
        <v>1</v>
      </c>
      <c r="AJ50" s="11"/>
      <c r="AV50"/>
      <c r="AW50"/>
      <c r="AX50"/>
      <c r="AY50"/>
      <c r="BC50" s="11"/>
      <c r="BD50" s="11"/>
      <c r="BE50" s="11"/>
      <c r="BF50" s="11"/>
      <c r="BG50" s="11"/>
      <c r="BH50" s="11"/>
      <c r="BI50" s="11"/>
      <c r="BJ50" s="11"/>
    </row>
    <row r="51" spans="3:62" ht="13.5" thickBot="1" x14ac:dyDescent="0.45">
      <c r="AE51" s="30" t="str">
        <f ca="1"/>
        <v>MERCEDEZ GLE 580 IP LHD LINE 1</v>
      </c>
      <c r="AF51" s="31">
        <f t="shared" ca="1" si="1"/>
        <v>1</v>
      </c>
      <c r="AJ51" s="11"/>
      <c r="AV51" s="119"/>
      <c r="BC51" s="11"/>
      <c r="BD51" s="11"/>
      <c r="BE51" s="11"/>
      <c r="BF51" s="11"/>
      <c r="BG51" s="11"/>
      <c r="BH51" s="11"/>
      <c r="BI51" s="11"/>
      <c r="BJ51" s="11"/>
    </row>
    <row r="52" spans="3:62" ht="15" customHeight="1" x14ac:dyDescent="0.4">
      <c r="AE52" s="30" t="str">
        <f ca="1"/>
        <v>MERCEDEZ GLE 580 IP RHD LINE 2</v>
      </c>
      <c r="AF52" s="31">
        <f t="shared" ca="1" si="1"/>
        <v>1</v>
      </c>
      <c r="AJ52" s="11"/>
      <c r="AM52" s="334" t="s">
        <v>363</v>
      </c>
      <c r="AN52" s="335"/>
      <c r="AO52" s="335"/>
      <c r="AP52" s="335"/>
      <c r="AQ52" s="336"/>
      <c r="AR52" s="334" t="s">
        <v>364</v>
      </c>
      <c r="AS52" s="335"/>
      <c r="AT52" s="335"/>
      <c r="AU52" s="335"/>
      <c r="AV52" s="336"/>
      <c r="AW52" s="334" t="s">
        <v>365</v>
      </c>
      <c r="AX52" s="335"/>
      <c r="AY52" s="335"/>
      <c r="AZ52" s="335"/>
      <c r="BA52" s="336"/>
      <c r="BC52" s="11"/>
      <c r="BD52" s="11"/>
      <c r="BE52" s="11"/>
      <c r="BF52" s="11"/>
      <c r="BG52" s="11"/>
      <c r="BH52" s="11"/>
      <c r="BI52" s="11"/>
      <c r="BJ52" s="11"/>
    </row>
    <row r="53" spans="3:62" ht="13.5" customHeight="1" thickBot="1" x14ac:dyDescent="0.45">
      <c r="AE53" s="30" t="str">
        <f ca="1"/>
        <v>MERCEDEZ LE 300 Coupé IP LHD LINE 1</v>
      </c>
      <c r="AF53" s="31">
        <f t="shared" ca="1" si="1"/>
        <v>1</v>
      </c>
      <c r="AJ53" s="11"/>
      <c r="AM53" s="337"/>
      <c r="AN53" s="338"/>
      <c r="AO53" s="338"/>
      <c r="AP53" s="338"/>
      <c r="AQ53" s="339"/>
      <c r="AR53" s="337"/>
      <c r="AS53" s="338"/>
      <c r="AT53" s="338"/>
      <c r="AU53" s="338"/>
      <c r="AV53" s="339"/>
      <c r="AW53" s="337"/>
      <c r="AX53" s="338"/>
      <c r="AY53" s="338"/>
      <c r="AZ53" s="338"/>
      <c r="BA53" s="339"/>
      <c r="BC53" s="11"/>
      <c r="BD53" s="11"/>
      <c r="BE53" s="11"/>
      <c r="BF53" s="11"/>
      <c r="BG53" s="11"/>
      <c r="BH53" s="11"/>
      <c r="BI53" s="11"/>
      <c r="BJ53" s="11"/>
    </row>
    <row r="54" spans="3:62" ht="13.5" thickBot="1" x14ac:dyDescent="0.45">
      <c r="AE54" s="30" t="str">
        <f ca="1"/>
        <v>MERCEDEZ LE 300 Coupé IP RHD LINE 2</v>
      </c>
      <c r="AF54" s="31">
        <f t="shared" ca="1" si="1"/>
        <v>1</v>
      </c>
      <c r="AJ54" s="11"/>
      <c r="AM54" s="115"/>
      <c r="AQ54" s="146"/>
      <c r="AS54" s="121"/>
      <c r="AT54" s="121"/>
      <c r="AV54" s="75"/>
      <c r="AW54" s="120"/>
      <c r="AX54" s="121"/>
      <c r="AY54" s="121"/>
      <c r="AZ54" s="121"/>
      <c r="BA54" s="122"/>
      <c r="BC54" s="11"/>
      <c r="BD54" s="11"/>
      <c r="BE54" s="11"/>
      <c r="BF54" s="11"/>
      <c r="BG54" s="11"/>
      <c r="BH54" s="11"/>
      <c r="BI54" s="11"/>
      <c r="BJ54" s="11"/>
    </row>
    <row r="55" spans="3:62" x14ac:dyDescent="0.4">
      <c r="AE55" s="30" t="str">
        <f ca="1"/>
        <v>BMW X7 IP LHD LINE 2</v>
      </c>
      <c r="AF55" s="31">
        <f t="shared" ca="1" si="1"/>
        <v>1</v>
      </c>
      <c r="AJ55" s="11"/>
      <c r="AM55" s="6" t="s">
        <v>387</v>
      </c>
      <c r="AN55" s="6" t="s">
        <v>388</v>
      </c>
      <c r="AO55" s="6" t="s">
        <v>389</v>
      </c>
      <c r="AP55" s="6" t="s">
        <v>390</v>
      </c>
      <c r="AQ55" s="6" t="s">
        <v>391</v>
      </c>
      <c r="AR55" s="6" t="s">
        <v>392</v>
      </c>
      <c r="AS55" s="6" t="s">
        <v>393</v>
      </c>
      <c r="AT55" s="6" t="s">
        <v>394</v>
      </c>
      <c r="AU55" s="6" t="s">
        <v>395</v>
      </c>
      <c r="AV55" s="6" t="s">
        <v>396</v>
      </c>
      <c r="AW55" s="6" t="s">
        <v>397</v>
      </c>
      <c r="AX55" s="6" t="s">
        <v>398</v>
      </c>
      <c r="AY55" s="6" t="s">
        <v>399</v>
      </c>
      <c r="AZ55" s="6" t="s">
        <v>400</v>
      </c>
      <c r="BA55" s="6" t="s">
        <v>401</v>
      </c>
      <c r="BC55" s="11"/>
      <c r="BD55" s="11"/>
      <c r="BE55" s="11"/>
      <c r="BF55" s="11"/>
      <c r="BG55" s="11"/>
      <c r="BH55" s="11"/>
      <c r="BI55" s="11"/>
      <c r="BJ55" s="11"/>
    </row>
    <row r="56" spans="3:62" x14ac:dyDescent="0.4">
      <c r="AE56" s="30" t="str">
        <f ca="1"/>
        <v>BMW X7 IP RHD LINE 1</v>
      </c>
      <c r="AF56" s="31">
        <f t="shared" ca="1" si="1"/>
        <v>1</v>
      </c>
      <c r="AJ56" s="11"/>
      <c r="AM56" s="4" t="s">
        <v>442</v>
      </c>
      <c r="AN56" s="4" t="s">
        <v>443</v>
      </c>
      <c r="AO56" s="4" t="s">
        <v>444</v>
      </c>
      <c r="AP56" s="4" t="s">
        <v>445</v>
      </c>
      <c r="AQ56" s="4" t="s">
        <v>446</v>
      </c>
      <c r="AR56" s="4" t="s">
        <v>447</v>
      </c>
      <c r="AS56" s="4" t="s">
        <v>448</v>
      </c>
      <c r="AT56" s="4" t="s">
        <v>449</v>
      </c>
      <c r="AU56" s="4" t="s">
        <v>445</v>
      </c>
      <c r="AV56" s="4" t="s">
        <v>450</v>
      </c>
      <c r="AW56" s="4" t="s">
        <v>447</v>
      </c>
      <c r="AX56" s="4" t="s">
        <v>448</v>
      </c>
      <c r="AY56" s="4" t="s">
        <v>451</v>
      </c>
      <c r="AZ56" s="4" t="s">
        <v>449</v>
      </c>
      <c r="BA56" s="4" t="s">
        <v>445</v>
      </c>
      <c r="BC56" s="11"/>
      <c r="BD56" s="11"/>
      <c r="BE56" s="11"/>
      <c r="BF56" s="11"/>
      <c r="BG56" s="11"/>
      <c r="BH56" s="11"/>
      <c r="BI56" s="11"/>
      <c r="BJ56" s="11"/>
    </row>
    <row r="57" spans="3:62" x14ac:dyDescent="0.4">
      <c r="AE57" s="30" t="str">
        <f ca="1"/>
        <v>BMW 420d Gran Coupé IP LHD LINE 2</v>
      </c>
      <c r="AF57" s="31">
        <f t="shared" ca="1" si="1"/>
        <v>1</v>
      </c>
      <c r="AJ57" s="11"/>
      <c r="AM57" s="4" t="s">
        <v>453</v>
      </c>
      <c r="AN57" s="4" t="s">
        <v>454</v>
      </c>
      <c r="AO57" s="4" t="s">
        <v>455</v>
      </c>
      <c r="AP57" s="4" t="s">
        <v>456</v>
      </c>
      <c r="AQ57" s="4" t="s">
        <v>457</v>
      </c>
      <c r="AR57" s="4" t="s">
        <v>457</v>
      </c>
      <c r="AS57" s="4" t="s">
        <v>458</v>
      </c>
      <c r="AT57" s="4" t="s">
        <v>445</v>
      </c>
      <c r="AU57" s="4" t="s">
        <v>456</v>
      </c>
      <c r="AV57" s="4" t="s">
        <v>454</v>
      </c>
      <c r="AW57" s="4" t="s">
        <v>457</v>
      </c>
      <c r="AX57" s="4" t="s">
        <v>458</v>
      </c>
      <c r="AY57" s="4" t="s">
        <v>457</v>
      </c>
      <c r="AZ57" s="4" t="s">
        <v>445</v>
      </c>
      <c r="BA57" s="4" t="s">
        <v>456</v>
      </c>
      <c r="BC57" s="11"/>
      <c r="BD57" s="11"/>
      <c r="BE57" s="11"/>
      <c r="BF57" s="11"/>
      <c r="BG57" s="11"/>
      <c r="BH57" s="11"/>
      <c r="BI57" s="11"/>
      <c r="BJ57" s="11"/>
    </row>
    <row r="58" spans="3:62" x14ac:dyDescent="0.4">
      <c r="AE58" s="30" t="str">
        <f ca="1"/>
        <v>BMW 420d Gran Coupé IP RHD LINE 1</v>
      </c>
      <c r="AF58" s="31">
        <f t="shared" ca="1" si="1"/>
        <v>1</v>
      </c>
      <c r="AJ58" s="11"/>
      <c r="AM58" s="4" t="s">
        <v>457</v>
      </c>
      <c r="AN58" s="4" t="s">
        <v>459</v>
      </c>
      <c r="AO58" s="4" t="s">
        <v>460</v>
      </c>
      <c r="AP58" s="4" t="s">
        <v>461</v>
      </c>
      <c r="AQ58" s="4" t="s">
        <v>453</v>
      </c>
      <c r="AR58" s="4" t="s">
        <v>462</v>
      </c>
      <c r="AS58" s="4" t="s">
        <v>463</v>
      </c>
      <c r="AT58" s="4" t="s">
        <v>459</v>
      </c>
      <c r="AU58" s="4" t="s">
        <v>461</v>
      </c>
      <c r="AV58" s="4" t="s">
        <v>462</v>
      </c>
      <c r="AW58" s="4" t="s">
        <v>462</v>
      </c>
      <c r="AX58" s="4" t="s">
        <v>463</v>
      </c>
      <c r="AY58" s="4" t="s">
        <v>453</v>
      </c>
      <c r="AZ58" s="4" t="s">
        <v>459</v>
      </c>
      <c r="BA58" s="4" t="s">
        <v>461</v>
      </c>
      <c r="BC58" s="11"/>
      <c r="BD58" s="11"/>
      <c r="BE58" s="11"/>
      <c r="BF58" s="11"/>
      <c r="BG58" s="11"/>
      <c r="BH58" s="11"/>
      <c r="BI58" s="11"/>
      <c r="BJ58" s="11"/>
    </row>
    <row r="59" spans="3:62" x14ac:dyDescent="0.4">
      <c r="AE59" s="30" t="str">
        <f ca="1"/>
        <v>BMW M550i xDrive IP LHD LINE 2</v>
      </c>
      <c r="AF59" s="31">
        <f t="shared" ca="1" si="1"/>
        <v>1</v>
      </c>
      <c r="AJ59" s="11"/>
      <c r="AM59" s="4" t="s">
        <v>464</v>
      </c>
      <c r="AN59" s="4" t="s">
        <v>465</v>
      </c>
      <c r="AS59" s="4" t="s">
        <v>466</v>
      </c>
      <c r="AX59" s="4" t="s">
        <v>466</v>
      </c>
      <c r="AY59" s="4" t="s">
        <v>467</v>
      </c>
      <c r="BC59" s="11"/>
      <c r="BD59" s="11"/>
      <c r="BE59" s="11"/>
      <c r="BF59" s="11"/>
      <c r="BG59" s="11"/>
      <c r="BH59" s="11"/>
      <c r="BI59" s="11"/>
      <c r="BJ59" s="11"/>
    </row>
    <row r="60" spans="3:62" x14ac:dyDescent="0.4">
      <c r="AE60" s="30" t="str">
        <f ca="1"/>
        <v>BMW M550i xDrive IP RHD LINE 1</v>
      </c>
      <c r="AF60" s="31">
        <f t="shared" ca="1" si="1"/>
        <v>1</v>
      </c>
      <c r="AJ60" s="11"/>
      <c r="AM60" s="118"/>
      <c r="AN60" s="118"/>
      <c r="AO60" s="118"/>
      <c r="AP60" s="118"/>
      <c r="AQ60" s="118"/>
      <c r="AW60" s="118"/>
      <c r="AX60" s="118"/>
      <c r="AY60" s="118"/>
      <c r="AZ60" s="118"/>
      <c r="BA60" s="118"/>
      <c r="BC60" s="11"/>
      <c r="BD60" s="11"/>
      <c r="BE60" s="11"/>
      <c r="BF60" s="11"/>
      <c r="BG60" s="11"/>
      <c r="BH60" s="11"/>
      <c r="BI60" s="11"/>
      <c r="BJ60" s="11"/>
    </row>
    <row r="61" spans="3:62" x14ac:dyDescent="0.4">
      <c r="AE61" s="30" t="str">
        <f ca="1"/>
        <v>BMW X7 A-Pillar LH LINE 4</v>
      </c>
      <c r="AF61" s="31">
        <f t="shared" ca="1" si="1"/>
        <v>1</v>
      </c>
      <c r="AJ61" s="11"/>
      <c r="AM61" s="118"/>
      <c r="AN61" s="118"/>
      <c r="AO61" s="118"/>
      <c r="AP61" s="118"/>
      <c r="AQ61" s="118"/>
      <c r="AR61" s="118"/>
      <c r="AS61" s="118"/>
      <c r="AT61" s="118"/>
      <c r="AU61" s="118"/>
      <c r="AV61" s="118"/>
      <c r="AW61" s="118"/>
      <c r="AX61" s="118"/>
      <c r="AY61" s="118"/>
      <c r="AZ61" s="118"/>
      <c r="BA61" s="118"/>
      <c r="BC61" s="11"/>
      <c r="BD61" s="11"/>
      <c r="BE61" s="11"/>
      <c r="BF61" s="11"/>
      <c r="BG61" s="11"/>
      <c r="BH61" s="11"/>
      <c r="BI61" s="11"/>
      <c r="BJ61" s="11"/>
    </row>
    <row r="62" spans="3:62" x14ac:dyDescent="0.4">
      <c r="AE62" s="30" t="str">
        <f ca="1"/>
        <v>BMW X7 A-Pillar RH LINE 4</v>
      </c>
      <c r="AF62" s="31">
        <f t="shared" ca="1" si="1"/>
        <v>1</v>
      </c>
      <c r="AJ62" s="11"/>
      <c r="AM62" s="118"/>
      <c r="AN62" s="118"/>
      <c r="AO62" s="118"/>
      <c r="AP62" s="118"/>
      <c r="AQ62" s="118"/>
      <c r="AR62" s="118"/>
      <c r="AS62" s="118"/>
      <c r="AT62" s="118"/>
      <c r="AU62" s="118"/>
      <c r="AV62" s="118"/>
      <c r="AW62" s="118"/>
      <c r="AX62" s="118"/>
      <c r="AY62" s="118"/>
      <c r="AZ62" s="118"/>
      <c r="BA62" s="118"/>
      <c r="BC62" s="11"/>
      <c r="BD62" s="11"/>
      <c r="BE62" s="11"/>
      <c r="BF62" s="11"/>
      <c r="BG62" s="11"/>
      <c r="BH62" s="11"/>
      <c r="BI62" s="11"/>
      <c r="BJ62" s="11"/>
    </row>
    <row r="63" spans="3:62" x14ac:dyDescent="0.4">
      <c r="AE63" s="30" t="str">
        <f ca="1"/>
        <v>BMW 420d Gran Coupé A-Pillar LH LINE 4</v>
      </c>
      <c r="AF63" s="31">
        <f t="shared" ca="1" si="1"/>
        <v>1</v>
      </c>
      <c r="AJ63" s="11"/>
      <c r="AM63" s="118"/>
      <c r="AN63" s="118"/>
      <c r="AO63" s="118"/>
      <c r="AP63" s="118"/>
      <c r="AQ63" s="118"/>
      <c r="AR63" s="118"/>
      <c r="AS63" s="118"/>
      <c r="AT63" s="118"/>
      <c r="AU63" s="118"/>
      <c r="AV63" s="118"/>
      <c r="AW63" s="118"/>
      <c r="AX63" s="118"/>
      <c r="AY63" s="118"/>
      <c r="AZ63" s="118"/>
      <c r="BA63" s="118"/>
      <c r="BC63" s="11"/>
      <c r="BD63" s="11"/>
      <c r="BE63" s="11"/>
      <c r="BF63" s="11"/>
      <c r="BG63" s="11"/>
      <c r="BH63" s="11"/>
      <c r="BI63" s="11"/>
      <c r="BJ63" s="11"/>
    </row>
    <row r="64" spans="3:62" ht="12.75" customHeight="1" x14ac:dyDescent="0.4">
      <c r="AE64" s="30" t="str">
        <f ca="1"/>
        <v>BMW 420d Gran Coupé A-Pillar RH LINE 4</v>
      </c>
      <c r="AF64" s="31">
        <f t="shared" ca="1" si="1"/>
        <v>1</v>
      </c>
      <c r="AJ64" s="11"/>
      <c r="AM64" s="118"/>
      <c r="AN64" s="118"/>
      <c r="AO64" s="118"/>
      <c r="AP64" s="118"/>
      <c r="AQ64" s="118"/>
      <c r="AR64" s="118"/>
      <c r="AS64" s="118"/>
      <c r="AT64" s="118"/>
      <c r="AU64" s="118"/>
      <c r="AV64" s="118"/>
      <c r="AW64" s="118"/>
      <c r="AX64" s="118"/>
      <c r="AY64" s="118"/>
      <c r="AZ64" s="118"/>
      <c r="BA64" s="118"/>
      <c r="BC64" s="11"/>
      <c r="BD64" s="11"/>
      <c r="BE64" s="11"/>
      <c r="BF64" s="11"/>
      <c r="BG64" s="11"/>
      <c r="BH64" s="11"/>
      <c r="BI64" s="11"/>
      <c r="BJ64" s="11"/>
    </row>
    <row r="65" spans="31:62" ht="12.75" customHeight="1" x14ac:dyDescent="0.4">
      <c r="AE65" s="30" t="str">
        <f ca="1"/>
        <v>BMW M550i xDrive A-Pillar LH LINE 4</v>
      </c>
      <c r="AF65" s="31">
        <f t="shared" ca="1" si="1"/>
        <v>1</v>
      </c>
      <c r="AJ65" s="11"/>
      <c r="AM65" s="118"/>
      <c r="AN65" s="118"/>
      <c r="AO65" s="118"/>
      <c r="AP65" s="118"/>
      <c r="AQ65" s="118"/>
      <c r="AR65" s="118"/>
      <c r="AS65" s="118"/>
      <c r="AT65" s="118"/>
      <c r="AU65" s="118"/>
      <c r="AV65" s="118"/>
      <c r="AW65" s="118"/>
      <c r="AX65" s="118"/>
      <c r="AY65" s="118"/>
      <c r="AZ65" s="118"/>
      <c r="BA65" s="118"/>
      <c r="BC65" s="11"/>
      <c r="BD65" s="11"/>
      <c r="BE65" s="11"/>
      <c r="BF65" s="11"/>
      <c r="BG65" s="11"/>
      <c r="BH65" s="11"/>
      <c r="BI65" s="11"/>
      <c r="BJ65" s="11"/>
    </row>
    <row r="66" spans="31:62" x14ac:dyDescent="0.4">
      <c r="AE66" s="30" t="str">
        <f ca="1"/>
        <v>BMW M550i xDrive A-Pillar RH LINE 4</v>
      </c>
      <c r="AF66" s="31">
        <f t="shared" ca="1" si="1"/>
        <v>1</v>
      </c>
      <c r="AJ66" s="11"/>
      <c r="AM66" s="118"/>
      <c r="AN66" s="118"/>
      <c r="AO66" s="118"/>
      <c r="AP66" s="118"/>
      <c r="AQ66" s="118"/>
      <c r="AR66" s="118"/>
      <c r="AS66" s="118"/>
      <c r="AT66" s="118"/>
      <c r="AU66" s="118"/>
      <c r="AV66" s="118"/>
      <c r="AW66" s="118"/>
      <c r="AX66" s="118"/>
      <c r="AY66" s="118"/>
      <c r="AZ66" s="118"/>
      <c r="BA66" s="118"/>
      <c r="BC66" s="11"/>
      <c r="BD66" s="11"/>
      <c r="BE66" s="11"/>
      <c r="BF66" s="11"/>
      <c r="BG66" s="11"/>
      <c r="BH66" s="11"/>
      <c r="BI66" s="11"/>
      <c r="BJ66" s="11"/>
    </row>
    <row r="67" spans="31:62" x14ac:dyDescent="0.4">
      <c r="AE67" s="30" t="str">
        <f ca="1"/>
        <v>MERCEDEZ GLE 53 C-Pillar LH LINE 4</v>
      </c>
      <c r="AF67" s="31">
        <f t="shared" ca="1" si="1"/>
        <v>1</v>
      </c>
      <c r="AJ67" s="11"/>
      <c r="AM67" s="118"/>
      <c r="AN67" s="118"/>
      <c r="AO67" s="118"/>
      <c r="AP67" s="118"/>
      <c r="AQ67" s="118"/>
      <c r="AR67" s="118"/>
      <c r="AS67" s="118"/>
      <c r="AT67" s="118"/>
      <c r="AU67" s="118"/>
      <c r="AV67" s="118"/>
      <c r="AW67" s="118"/>
      <c r="AX67" s="118"/>
      <c r="AY67" s="118"/>
      <c r="AZ67" s="118"/>
      <c r="BA67" s="118"/>
      <c r="BC67" s="11"/>
      <c r="BD67" s="11"/>
      <c r="BE67" s="11"/>
      <c r="BF67" s="11"/>
      <c r="BG67" s="11"/>
      <c r="BH67" s="11"/>
      <c r="BI67" s="11"/>
      <c r="BJ67" s="11"/>
    </row>
    <row r="68" spans="31:62" x14ac:dyDescent="0.4">
      <c r="AE68" s="30" t="str">
        <f ca="1"/>
        <v>MERCEDEZ GLE 53 C-Pillar RH LINE 3</v>
      </c>
      <c r="AF68" s="31">
        <f t="shared" ca="1" si="1"/>
        <v>1</v>
      </c>
      <c r="AJ68" s="11"/>
      <c r="BC68" s="11"/>
      <c r="BD68" s="11"/>
      <c r="BE68" s="11"/>
      <c r="BF68" s="11"/>
      <c r="BG68" s="11"/>
      <c r="BH68" s="11"/>
      <c r="BI68" s="11"/>
      <c r="BJ68" s="11"/>
    </row>
    <row r="69" spans="31:62" x14ac:dyDescent="0.4">
      <c r="AE69" s="30" t="str">
        <f ca="1"/>
        <v>MERCEDEZ GLE 580 C-Pillar LH LINE 4</v>
      </c>
      <c r="AF69" s="31">
        <f t="shared" ca="1" si="1"/>
        <v>1</v>
      </c>
      <c r="AJ69" s="11"/>
      <c r="BC69" s="11"/>
      <c r="BD69" s="11"/>
      <c r="BE69" s="11"/>
      <c r="BF69" s="11"/>
      <c r="BG69" s="11"/>
      <c r="BH69" s="11"/>
      <c r="BI69" s="11"/>
      <c r="BJ69" s="11"/>
    </row>
    <row r="70" spans="31:62" ht="13.5" thickBot="1" x14ac:dyDescent="0.45">
      <c r="AE70" s="30" t="str">
        <f ca="1"/>
        <v>MERCEDEZ GLE 580 C-Pillar RH LINE 3</v>
      </c>
      <c r="AF70" s="31">
        <f t="shared" ca="1" si="1"/>
        <v>1</v>
      </c>
      <c r="AJ70" s="11"/>
      <c r="BC70" s="11"/>
      <c r="BD70" s="11"/>
      <c r="BE70" s="11"/>
      <c r="BF70" s="11"/>
      <c r="BG70" s="11"/>
      <c r="BH70" s="11"/>
      <c r="BI70" s="11"/>
      <c r="BJ70" s="11"/>
    </row>
    <row r="71" spans="31:62" ht="15" customHeight="1" x14ac:dyDescent="0.4">
      <c r="AE71" s="30" t="str">
        <f ca="1"/>
        <v>MERCEDEZ LE 300 Coupé C-Pillar LH LINE 4</v>
      </c>
      <c r="AF71" s="31">
        <f t="shared" ca="1" si="1"/>
        <v>1</v>
      </c>
      <c r="AJ71" s="11"/>
      <c r="AM71" s="334" t="s">
        <v>365</v>
      </c>
      <c r="AN71" s="335"/>
      <c r="AO71" s="335"/>
      <c r="AP71" s="335"/>
      <c r="AQ71" s="335"/>
      <c r="AR71" s="334" t="s">
        <v>366</v>
      </c>
      <c r="AS71" s="335"/>
      <c r="AT71" s="335"/>
      <c r="AU71" s="335"/>
      <c r="AV71" s="336"/>
      <c r="AW71" s="340" t="s">
        <v>367</v>
      </c>
      <c r="AX71" s="341"/>
      <c r="AY71" s="341"/>
      <c r="AZ71" s="341"/>
      <c r="BA71" s="342"/>
      <c r="BC71" s="11"/>
      <c r="BD71" s="11"/>
      <c r="BE71" s="11"/>
      <c r="BF71" s="11"/>
      <c r="BG71" s="11"/>
      <c r="BH71" s="11"/>
      <c r="BI71" s="11"/>
      <c r="BJ71" s="11"/>
    </row>
    <row r="72" spans="31:62" ht="13.5" customHeight="1" thickBot="1" x14ac:dyDescent="0.45">
      <c r="AE72" s="145" t="str">
        <f ca="1"/>
        <v>MERCEDEZ LE 300 Coupé C-Pillar RH LINE 3</v>
      </c>
      <c r="AF72" s="35">
        <f ca="1">IF(AE72="","",COUNTIF($1:$1,AE72))</f>
        <v>1</v>
      </c>
      <c r="AJ72" s="11"/>
      <c r="AM72" s="337"/>
      <c r="AN72" s="338"/>
      <c r="AO72" s="338"/>
      <c r="AP72" s="338"/>
      <c r="AQ72" s="338"/>
      <c r="AR72" s="337"/>
      <c r="AS72" s="338"/>
      <c r="AT72" s="338"/>
      <c r="AU72" s="338"/>
      <c r="AV72" s="339"/>
      <c r="AW72" s="343"/>
      <c r="AX72" s="344"/>
      <c r="AY72" s="344"/>
      <c r="AZ72" s="344"/>
      <c r="BA72" s="345"/>
      <c r="BC72" s="11"/>
      <c r="BD72" s="11"/>
      <c r="BE72" s="11"/>
      <c r="BF72" s="11"/>
      <c r="BG72" s="11"/>
      <c r="BH72" s="11"/>
      <c r="BI72" s="11"/>
      <c r="BJ72" s="11"/>
    </row>
    <row r="73" spans="31:62" ht="13.5" thickBot="1" x14ac:dyDescent="0.45">
      <c r="AJ73" s="11"/>
      <c r="AM73" s="120"/>
      <c r="AN73" s="121"/>
      <c r="AO73" s="121"/>
      <c r="AP73" s="121"/>
      <c r="AQ73" s="122"/>
      <c r="AR73" s="120"/>
      <c r="AS73" s="121"/>
      <c r="AT73" s="121"/>
      <c r="AU73" s="121"/>
      <c r="AV73" s="122"/>
      <c r="AW73" s="147"/>
      <c r="AX73" s="148"/>
      <c r="AY73" s="148"/>
      <c r="AZ73" s="148"/>
      <c r="BA73" s="146"/>
      <c r="BC73" s="11"/>
      <c r="BD73" s="11"/>
      <c r="BE73" s="11"/>
      <c r="BF73" s="11"/>
      <c r="BG73" s="11"/>
      <c r="BH73" s="11"/>
      <c r="BI73" s="11"/>
      <c r="BJ73" s="11"/>
    </row>
    <row r="74" spans="31:62" x14ac:dyDescent="0.4">
      <c r="AM74" s="6" t="s">
        <v>402</v>
      </c>
      <c r="AN74" s="6" t="s">
        <v>403</v>
      </c>
      <c r="AO74" s="6" t="s">
        <v>404</v>
      </c>
      <c r="AP74" s="6" t="s">
        <v>405</v>
      </c>
      <c r="AQ74" s="6" t="s">
        <v>406</v>
      </c>
      <c r="AR74" s="6" t="s">
        <v>407</v>
      </c>
      <c r="AS74" s="6" t="s">
        <v>408</v>
      </c>
      <c r="AT74" s="6" t="s">
        <v>409</v>
      </c>
      <c r="AU74" s="6" t="s">
        <v>410</v>
      </c>
      <c r="AV74" s="6" t="s">
        <v>411</v>
      </c>
      <c r="AW74" s="6" t="s">
        <v>412</v>
      </c>
      <c r="AX74" s="6" t="s">
        <v>413</v>
      </c>
      <c r="AY74" s="6" t="s">
        <v>414</v>
      </c>
      <c r="AZ74" s="6" t="s">
        <v>415</v>
      </c>
      <c r="BA74" s="6" t="s">
        <v>416</v>
      </c>
      <c r="BC74" s="11"/>
      <c r="BD74" s="11"/>
      <c r="BE74" s="11"/>
      <c r="BF74" s="11"/>
      <c r="BG74" s="11"/>
      <c r="BH74" s="11"/>
      <c r="BI74" s="11"/>
      <c r="BJ74" s="11"/>
    </row>
    <row r="75" spans="31:62" x14ac:dyDescent="0.4">
      <c r="AM75" s="4" t="s">
        <v>447</v>
      </c>
      <c r="AN75" s="4" t="s">
        <v>448</v>
      </c>
      <c r="AO75" s="4" t="s">
        <v>449</v>
      </c>
      <c r="AP75" s="4" t="s">
        <v>445</v>
      </c>
      <c r="AQ75" s="4" t="s">
        <v>450</v>
      </c>
      <c r="AR75" s="118" t="s">
        <v>447</v>
      </c>
      <c r="AS75" s="118" t="s">
        <v>448</v>
      </c>
      <c r="AT75" s="118" t="s">
        <v>449</v>
      </c>
      <c r="AU75" s="118" t="s">
        <v>445</v>
      </c>
      <c r="AV75" s="118" t="s">
        <v>450</v>
      </c>
      <c r="AW75" s="118" t="s">
        <v>447</v>
      </c>
      <c r="AX75" s="118" t="s">
        <v>448</v>
      </c>
      <c r="AY75" s="118" t="s">
        <v>451</v>
      </c>
      <c r="AZ75" s="118" t="s">
        <v>449</v>
      </c>
      <c r="BA75" s="118" t="s">
        <v>445</v>
      </c>
      <c r="BC75" s="11"/>
      <c r="BD75" s="11"/>
      <c r="BE75" s="11"/>
      <c r="BF75" s="11"/>
      <c r="BG75" s="11"/>
      <c r="BH75" s="11"/>
      <c r="BI75" s="11"/>
      <c r="BJ75" s="11"/>
    </row>
    <row r="76" spans="31:62" x14ac:dyDescent="0.4">
      <c r="AM76" s="4" t="s">
        <v>457</v>
      </c>
      <c r="AN76" s="4" t="s">
        <v>458</v>
      </c>
      <c r="AO76" s="4" t="s">
        <v>445</v>
      </c>
      <c r="AP76" s="4" t="s">
        <v>456</v>
      </c>
      <c r="AQ76" s="4" t="s">
        <v>454</v>
      </c>
      <c r="AR76" s="118" t="s">
        <v>457</v>
      </c>
      <c r="AS76" s="118" t="s">
        <v>458</v>
      </c>
      <c r="AT76" s="118" t="s">
        <v>445</v>
      </c>
      <c r="AU76" s="118" t="s">
        <v>456</v>
      </c>
      <c r="AV76" s="118" t="s">
        <v>454</v>
      </c>
      <c r="AW76" s="118" t="s">
        <v>457</v>
      </c>
      <c r="AX76" s="118" t="s">
        <v>458</v>
      </c>
      <c r="AY76" s="118" t="s">
        <v>457</v>
      </c>
      <c r="AZ76" s="118" t="s">
        <v>445</v>
      </c>
      <c r="BA76" s="118" t="s">
        <v>456</v>
      </c>
      <c r="BC76" s="11"/>
      <c r="BD76" s="11"/>
      <c r="BE76" s="11"/>
      <c r="BF76" s="11"/>
      <c r="BG76" s="11"/>
      <c r="BH76" s="11"/>
      <c r="BI76" s="11"/>
      <c r="BJ76" s="11"/>
    </row>
    <row r="77" spans="31:62" x14ac:dyDescent="0.4">
      <c r="AM77" s="4" t="s">
        <v>462</v>
      </c>
      <c r="AN77" s="4" t="s">
        <v>463</v>
      </c>
      <c r="AO77" s="4" t="s">
        <v>459</v>
      </c>
      <c r="AP77" s="4" t="s">
        <v>461</v>
      </c>
      <c r="AQ77" s="4" t="s">
        <v>462</v>
      </c>
      <c r="AR77" s="118" t="s">
        <v>462</v>
      </c>
      <c r="AS77" s="118" t="s">
        <v>463</v>
      </c>
      <c r="AT77" s="118" t="s">
        <v>459</v>
      </c>
      <c r="AU77" s="118" t="s">
        <v>461</v>
      </c>
      <c r="AV77" s="118" t="s">
        <v>462</v>
      </c>
      <c r="AW77" s="118" t="s">
        <v>462</v>
      </c>
      <c r="AX77" s="118" t="s">
        <v>463</v>
      </c>
      <c r="AY77" s="118" t="s">
        <v>453</v>
      </c>
      <c r="AZ77" s="118" t="s">
        <v>459</v>
      </c>
      <c r="BA77" s="118" t="s">
        <v>461</v>
      </c>
      <c r="BC77" s="11"/>
      <c r="BD77" s="11"/>
      <c r="BE77" s="11"/>
      <c r="BF77" s="11"/>
      <c r="BG77" s="11"/>
      <c r="BH77" s="11"/>
      <c r="BI77" s="11"/>
      <c r="BJ77" s="11"/>
    </row>
    <row r="78" spans="31:62" x14ac:dyDescent="0.4">
      <c r="AN78" s="4" t="s">
        <v>466</v>
      </c>
      <c r="AR78" s="118"/>
      <c r="AS78" s="118" t="s">
        <v>466</v>
      </c>
      <c r="AT78" s="118"/>
      <c r="AU78" s="118"/>
      <c r="AV78" s="118"/>
      <c r="AW78" s="118"/>
      <c r="AX78" s="118" t="s">
        <v>466</v>
      </c>
      <c r="AY78" s="118" t="s">
        <v>467</v>
      </c>
      <c r="AZ78" s="118"/>
      <c r="BA78" s="118"/>
      <c r="BC78" s="11"/>
      <c r="BD78" s="11"/>
      <c r="BE78" s="11"/>
      <c r="BF78" s="11"/>
      <c r="BG78" s="11"/>
      <c r="BH78" s="11"/>
      <c r="BI78" s="11"/>
      <c r="BJ78" s="11"/>
    </row>
    <row r="79" spans="31:62" x14ac:dyDescent="0.4">
      <c r="AR79" s="118"/>
      <c r="AS79" s="118"/>
      <c r="AT79" s="118"/>
      <c r="AU79" s="118"/>
      <c r="AV79" s="118"/>
      <c r="AW79" s="118"/>
      <c r="AX79" s="118"/>
      <c r="AY79" s="118"/>
      <c r="AZ79" s="118"/>
      <c r="BA79" s="118"/>
      <c r="BC79" s="11"/>
      <c r="BD79" s="11"/>
      <c r="BE79" s="11"/>
      <c r="BF79" s="11"/>
      <c r="BG79" s="11"/>
      <c r="BH79" s="11"/>
      <c r="BI79" s="11"/>
      <c r="BJ79" s="11"/>
    </row>
    <row r="80" spans="31:62" x14ac:dyDescent="0.4">
      <c r="AM80" s="118"/>
      <c r="AN80" s="118"/>
      <c r="AO80" s="118"/>
      <c r="AP80" s="118"/>
      <c r="AQ80" s="118"/>
      <c r="AR80" s="118"/>
      <c r="AS80" s="118"/>
      <c r="AT80" s="118"/>
      <c r="AU80" s="118"/>
      <c r="AV80" s="118"/>
      <c r="AW80" s="118"/>
      <c r="AX80" s="118"/>
      <c r="AY80" s="118"/>
      <c r="AZ80" s="118"/>
      <c r="BA80" s="118"/>
      <c r="BC80" s="11"/>
      <c r="BD80" s="11"/>
      <c r="BE80" s="11"/>
      <c r="BF80" s="11"/>
      <c r="BG80" s="11"/>
      <c r="BH80" s="11"/>
      <c r="BI80" s="11"/>
      <c r="BJ80" s="11"/>
    </row>
    <row r="81" spans="39:53" x14ac:dyDescent="0.4">
      <c r="AM81" s="118"/>
      <c r="AN81" s="118"/>
      <c r="AO81" s="118"/>
      <c r="AP81" s="118"/>
      <c r="AQ81" s="118"/>
      <c r="AR81" s="118"/>
      <c r="AS81" s="118"/>
      <c r="AT81" s="118"/>
      <c r="AU81" s="118"/>
      <c r="AV81" s="118"/>
      <c r="AW81" s="118"/>
      <c r="AX81" s="118"/>
      <c r="AY81" s="118"/>
      <c r="AZ81" s="118"/>
      <c r="BA81" s="118"/>
    </row>
    <row r="82" spans="39:53" ht="12.75" customHeight="1" x14ac:dyDescent="0.4">
      <c r="AM82" s="118"/>
      <c r="AN82" s="118"/>
      <c r="AO82" s="118"/>
      <c r="AP82" s="118"/>
      <c r="AQ82" s="118"/>
      <c r="AR82" s="118"/>
      <c r="AS82" s="118"/>
      <c r="AT82" s="118"/>
      <c r="AU82" s="118"/>
      <c r="AV82" s="118"/>
      <c r="AW82" s="118"/>
      <c r="AX82" s="118"/>
      <c r="AY82" s="118"/>
      <c r="AZ82" s="118"/>
      <c r="BA82" s="118"/>
    </row>
    <row r="83" spans="39:53" ht="13.5" customHeight="1" x14ac:dyDescent="0.4">
      <c r="AM83" s="118"/>
      <c r="AN83" s="118"/>
      <c r="AO83" s="118"/>
      <c r="AP83" s="118"/>
      <c r="AQ83" s="118"/>
      <c r="AR83" s="118"/>
      <c r="AS83" s="118"/>
      <c r="AT83" s="118"/>
      <c r="AU83" s="118"/>
      <c r="AV83" s="118"/>
      <c r="AW83" s="118"/>
      <c r="AX83" s="118"/>
      <c r="AY83" s="118"/>
      <c r="AZ83" s="118"/>
      <c r="BA83" s="118"/>
    </row>
    <row r="84" spans="39:53" x14ac:dyDescent="0.4">
      <c r="AM84" s="118"/>
      <c r="AN84" s="118"/>
      <c r="AO84" s="118"/>
      <c r="AP84" s="118"/>
      <c r="AQ84" s="118"/>
      <c r="AR84" s="118"/>
      <c r="AS84" s="118"/>
      <c r="AT84" s="118"/>
      <c r="AU84" s="118"/>
      <c r="AV84" s="118"/>
      <c r="AW84" s="118"/>
      <c r="AX84" s="118"/>
      <c r="AY84" s="118"/>
      <c r="AZ84" s="118"/>
      <c r="BA84" s="118"/>
    </row>
    <row r="85" spans="39:53" x14ac:dyDescent="0.4">
      <c r="AM85" s="118"/>
      <c r="AN85" s="118"/>
      <c r="AO85" s="118"/>
      <c r="AP85" s="118"/>
      <c r="AQ85" s="118"/>
      <c r="AR85" s="118"/>
      <c r="AS85" s="118"/>
      <c r="AT85" s="118"/>
      <c r="AU85" s="118"/>
      <c r="AV85" s="118"/>
      <c r="AW85" s="118"/>
      <c r="AX85" s="118"/>
      <c r="AY85" s="118"/>
      <c r="AZ85" s="118"/>
      <c r="BA85" s="118"/>
    </row>
    <row r="86" spans="39:53" x14ac:dyDescent="0.4">
      <c r="AM86" s="118"/>
      <c r="AN86" s="118"/>
      <c r="AO86" s="118"/>
      <c r="AP86" s="118"/>
      <c r="AQ86" s="118"/>
      <c r="AR86" s="118"/>
      <c r="AS86" s="118"/>
      <c r="AT86" s="118"/>
      <c r="AU86" s="118"/>
      <c r="AV86" s="118"/>
      <c r="AW86" s="118"/>
      <c r="AX86" s="118"/>
      <c r="AY86" s="118"/>
      <c r="AZ86" s="118"/>
      <c r="BA86" s="118"/>
    </row>
    <row r="89" spans="39:53" ht="13.5" thickBot="1" x14ac:dyDescent="0.45"/>
    <row r="90" spans="39:53" ht="13.15" customHeight="1" x14ac:dyDescent="0.4">
      <c r="AM90" s="334" t="s">
        <v>368</v>
      </c>
      <c r="AN90" s="335"/>
      <c r="AO90" s="335"/>
      <c r="AP90" s="335"/>
      <c r="AQ90" s="335"/>
      <c r="AR90" s="334" t="s">
        <v>369</v>
      </c>
      <c r="AS90" s="335"/>
      <c r="AT90" s="335"/>
      <c r="AU90" s="335"/>
      <c r="AV90" s="336"/>
      <c r="AW90" s="334" t="s">
        <v>369</v>
      </c>
      <c r="AX90" s="335"/>
      <c r="AY90" s="335"/>
      <c r="AZ90" s="335"/>
      <c r="BA90" s="336"/>
    </row>
    <row r="91" spans="39:53" ht="13.5" customHeight="1" thickBot="1" x14ac:dyDescent="0.45">
      <c r="AM91" s="337"/>
      <c r="AN91" s="338"/>
      <c r="AO91" s="338"/>
      <c r="AP91" s="338"/>
      <c r="AQ91" s="338"/>
      <c r="AR91" s="337"/>
      <c r="AS91" s="338"/>
      <c r="AT91" s="338"/>
      <c r="AU91" s="338"/>
      <c r="AV91" s="339"/>
      <c r="AW91" s="337"/>
      <c r="AX91" s="338"/>
      <c r="AY91" s="338"/>
      <c r="AZ91" s="338"/>
      <c r="BA91" s="339"/>
    </row>
    <row r="92" spans="39:53" ht="13.5" thickBot="1" x14ac:dyDescent="0.45">
      <c r="AM92" s="147"/>
      <c r="AN92" s="148"/>
      <c r="AO92" s="148"/>
      <c r="AP92" s="148"/>
      <c r="AQ92" s="146"/>
      <c r="AR92" s="147"/>
      <c r="AS92" s="148"/>
      <c r="AT92" s="148"/>
      <c r="AU92" s="148"/>
      <c r="AV92" s="146"/>
      <c r="AW92" s="115"/>
      <c r="BA92" s="75"/>
    </row>
    <row r="93" spans="39:53" x14ac:dyDescent="0.4">
      <c r="AM93" s="6" t="s">
        <v>417</v>
      </c>
      <c r="AN93" s="6" t="s">
        <v>418</v>
      </c>
      <c r="AO93" s="6" t="s">
        <v>419</v>
      </c>
      <c r="AP93" s="6" t="s">
        <v>420</v>
      </c>
      <c r="AQ93" s="6" t="s">
        <v>421</v>
      </c>
      <c r="AR93" s="6" t="s">
        <v>422</v>
      </c>
      <c r="AS93" s="6" t="s">
        <v>423</v>
      </c>
      <c r="AT93" s="6" t="s">
        <v>424</v>
      </c>
      <c r="AU93" s="6" t="s">
        <v>425</v>
      </c>
      <c r="AV93" s="6" t="s">
        <v>426</v>
      </c>
      <c r="AW93" s="6" t="s">
        <v>427</v>
      </c>
      <c r="AX93" s="6" t="s">
        <v>428</v>
      </c>
      <c r="AY93" s="6" t="s">
        <v>429</v>
      </c>
      <c r="AZ93" s="6" t="s">
        <v>430</v>
      </c>
      <c r="BA93" s="6" t="s">
        <v>431</v>
      </c>
    </row>
    <row r="94" spans="39:53" x14ac:dyDescent="0.4">
      <c r="AM94" s="4" t="s">
        <v>447</v>
      </c>
      <c r="AN94" s="4" t="s">
        <v>448</v>
      </c>
      <c r="AO94" s="4" t="s">
        <v>451</v>
      </c>
      <c r="AP94" s="4" t="s">
        <v>449</v>
      </c>
      <c r="AQ94" s="4" t="s">
        <v>445</v>
      </c>
      <c r="AR94" s="4" t="s">
        <v>447</v>
      </c>
      <c r="AS94" s="4" t="s">
        <v>448</v>
      </c>
      <c r="AT94" s="4" t="s">
        <v>449</v>
      </c>
      <c r="AU94" s="4" t="s">
        <v>452</v>
      </c>
      <c r="AV94" s="4" t="s">
        <v>450</v>
      </c>
      <c r="AW94" s="118" t="s">
        <v>447</v>
      </c>
      <c r="AX94" s="118" t="s">
        <v>448</v>
      </c>
      <c r="AY94" s="118" t="s">
        <v>449</v>
      </c>
      <c r="AZ94" s="118" t="s">
        <v>445</v>
      </c>
      <c r="BA94" s="118" t="s">
        <v>450</v>
      </c>
    </row>
    <row r="95" spans="39:53" x14ac:dyDescent="0.4">
      <c r="AM95" s="4" t="s">
        <v>457</v>
      </c>
      <c r="AN95" s="4" t="s">
        <v>458</v>
      </c>
      <c r="AO95" s="4" t="s">
        <v>457</v>
      </c>
      <c r="AP95" s="4" t="s">
        <v>445</v>
      </c>
      <c r="AQ95" s="4" t="s">
        <v>456</v>
      </c>
      <c r="AR95" s="4" t="s">
        <v>457</v>
      </c>
      <c r="AS95" s="4" t="s">
        <v>458</v>
      </c>
      <c r="AT95" s="4" t="s">
        <v>445</v>
      </c>
      <c r="AU95" s="4" t="s">
        <v>459</v>
      </c>
      <c r="AV95" s="4" t="s">
        <v>454</v>
      </c>
      <c r="AW95" s="118" t="s">
        <v>457</v>
      </c>
      <c r="AX95" s="118" t="s">
        <v>458</v>
      </c>
      <c r="AY95" s="118" t="s">
        <v>445</v>
      </c>
      <c r="AZ95" s="118" t="s">
        <v>456</v>
      </c>
      <c r="BA95" s="118" t="s">
        <v>454</v>
      </c>
    </row>
    <row r="96" spans="39:53" x14ac:dyDescent="0.4">
      <c r="AM96" s="4" t="s">
        <v>462</v>
      </c>
      <c r="AN96" s="4" t="s">
        <v>463</v>
      </c>
      <c r="AO96" s="4" t="s">
        <v>453</v>
      </c>
      <c r="AP96" s="4" t="s">
        <v>459</v>
      </c>
      <c r="AQ96" s="4" t="s">
        <v>461</v>
      </c>
      <c r="AR96" s="4" t="s">
        <v>462</v>
      </c>
      <c r="AS96" s="4" t="s">
        <v>463</v>
      </c>
      <c r="AT96" s="4" t="s">
        <v>459</v>
      </c>
      <c r="AU96" s="4" t="s">
        <v>453</v>
      </c>
      <c r="AV96" s="4" t="s">
        <v>462</v>
      </c>
      <c r="AW96" s="118" t="s">
        <v>462</v>
      </c>
      <c r="AX96" s="118" t="s">
        <v>463</v>
      </c>
      <c r="AY96" s="118" t="s">
        <v>459</v>
      </c>
      <c r="AZ96" s="118" t="s">
        <v>461</v>
      </c>
      <c r="BA96" s="118" t="s">
        <v>462</v>
      </c>
    </row>
    <row r="97" spans="39:53" x14ac:dyDescent="0.4">
      <c r="AN97" s="4" t="s">
        <v>466</v>
      </c>
      <c r="AO97" s="4" t="s">
        <v>467</v>
      </c>
      <c r="AS97" s="4" t="s">
        <v>466</v>
      </c>
      <c r="AW97" s="118"/>
      <c r="AX97" s="118" t="s">
        <v>466</v>
      </c>
      <c r="AY97" s="118"/>
      <c r="AZ97" s="118"/>
      <c r="BA97" s="118"/>
    </row>
    <row r="98" spans="39:53" x14ac:dyDescent="0.4">
      <c r="AR98" s="118"/>
      <c r="AS98" s="118"/>
      <c r="AT98" s="118"/>
      <c r="AU98" s="118"/>
      <c r="AV98" s="118"/>
      <c r="AW98" s="118"/>
      <c r="AX98" s="118"/>
      <c r="AY98" s="118"/>
      <c r="AZ98" s="118"/>
      <c r="BA98" s="118"/>
    </row>
    <row r="99" spans="39:53" x14ac:dyDescent="0.4">
      <c r="AM99" s="118"/>
      <c r="AN99" s="118"/>
      <c r="AO99" s="118"/>
      <c r="AP99" s="118"/>
      <c r="AQ99" s="118"/>
      <c r="AR99" s="118"/>
      <c r="AS99" s="118"/>
      <c r="AT99" s="118"/>
      <c r="AU99" s="118"/>
      <c r="AV99" s="118"/>
      <c r="AW99" s="118"/>
      <c r="AX99" s="118"/>
      <c r="AY99" s="118"/>
      <c r="AZ99" s="118"/>
      <c r="BA99" s="118"/>
    </row>
    <row r="100" spans="39:53" x14ac:dyDescent="0.4">
      <c r="AM100" s="118"/>
      <c r="AN100" s="118"/>
      <c r="AO100" s="118"/>
      <c r="AP100" s="118"/>
      <c r="AQ100" s="118"/>
      <c r="AR100" s="118"/>
      <c r="AS100" s="118"/>
      <c r="AT100" s="118"/>
      <c r="AU100" s="118"/>
      <c r="AV100" s="118"/>
      <c r="AW100" s="118"/>
      <c r="AX100" s="118"/>
      <c r="AY100" s="118"/>
      <c r="AZ100" s="118"/>
      <c r="BA100" s="118"/>
    </row>
    <row r="101" spans="39:53" x14ac:dyDescent="0.4">
      <c r="AM101" s="118"/>
      <c r="AN101" s="118"/>
      <c r="AO101" s="118"/>
      <c r="AP101" s="118"/>
      <c r="AQ101" s="118"/>
      <c r="AR101" s="118"/>
      <c r="AS101" s="118"/>
      <c r="AT101" s="118"/>
      <c r="AU101" s="118"/>
      <c r="AV101" s="118"/>
      <c r="AW101" s="118"/>
      <c r="AX101" s="118"/>
      <c r="AY101" s="118"/>
      <c r="AZ101" s="118"/>
      <c r="BA101" s="118"/>
    </row>
    <row r="102" spans="39:53" x14ac:dyDescent="0.4">
      <c r="AM102" s="118"/>
      <c r="AN102" s="118"/>
      <c r="AO102" s="118"/>
      <c r="AP102" s="118"/>
      <c r="AQ102" s="118"/>
      <c r="AR102" s="118"/>
      <c r="AS102" s="118"/>
      <c r="AT102" s="118"/>
      <c r="AU102" s="118"/>
      <c r="AV102" s="118"/>
      <c r="AW102" s="118"/>
      <c r="AX102" s="118"/>
      <c r="AY102" s="118"/>
      <c r="AZ102" s="118"/>
      <c r="BA102" s="118"/>
    </row>
    <row r="103" spans="39:53" x14ac:dyDescent="0.4">
      <c r="AM103" s="118"/>
      <c r="AN103" s="118"/>
      <c r="AO103" s="118"/>
      <c r="AP103" s="118"/>
      <c r="AQ103" s="118"/>
      <c r="AR103" s="118"/>
      <c r="AS103" s="118"/>
      <c r="AT103" s="118"/>
      <c r="AU103" s="118"/>
      <c r="AV103" s="118"/>
      <c r="AW103" s="118"/>
      <c r="AX103" s="118"/>
      <c r="AY103" s="118"/>
      <c r="AZ103" s="118"/>
      <c r="BA103" s="118"/>
    </row>
    <row r="104" spans="39:53" x14ac:dyDescent="0.4">
      <c r="AM104" s="118"/>
      <c r="AN104" s="118"/>
      <c r="AO104" s="118"/>
      <c r="AP104" s="118"/>
      <c r="AQ104" s="118"/>
      <c r="AR104" s="118"/>
      <c r="AS104" s="118"/>
      <c r="AT104" s="118"/>
      <c r="AU104" s="118"/>
      <c r="AV104" s="118"/>
      <c r="AW104" s="118"/>
      <c r="AX104" s="118"/>
      <c r="AY104" s="118"/>
      <c r="AZ104" s="118"/>
      <c r="BA104" s="118"/>
    </row>
    <row r="105" spans="39:53" x14ac:dyDescent="0.4">
      <c r="AM105" s="118"/>
      <c r="AN105" s="118"/>
      <c r="AO105" s="118"/>
      <c r="AP105" s="118"/>
      <c r="AQ105" s="118"/>
      <c r="AR105" s="118"/>
      <c r="AS105" s="118"/>
      <c r="AT105" s="118"/>
      <c r="AU105" s="118"/>
      <c r="AV105" s="118"/>
      <c r="AW105" s="118"/>
      <c r="AX105" s="118"/>
      <c r="AY105" s="118"/>
      <c r="AZ105" s="118"/>
      <c r="BA105" s="118"/>
    </row>
    <row r="108" spans="39:53" ht="13.5" thickBot="1" x14ac:dyDescent="0.45"/>
    <row r="109" spans="39:53" x14ac:dyDescent="0.4">
      <c r="AM109" s="334" t="s">
        <v>370</v>
      </c>
      <c r="AN109" s="335"/>
      <c r="AO109" s="335"/>
      <c r="AP109" s="335"/>
      <c r="AQ109" s="336"/>
      <c r="AR109" s="334" t="s">
        <v>371</v>
      </c>
      <c r="AS109" s="335"/>
      <c r="AT109" s="335"/>
      <c r="AU109" s="335"/>
      <c r="AV109" s="336"/>
      <c r="AW109" s="334" t="s">
        <v>529</v>
      </c>
      <c r="AX109" s="335"/>
      <c r="AY109" s="335"/>
      <c r="AZ109" s="335"/>
      <c r="BA109" s="336"/>
    </row>
    <row r="110" spans="39:53" ht="13.5" thickBot="1" x14ac:dyDescent="0.45">
      <c r="AM110" s="337"/>
      <c r="AN110" s="338"/>
      <c r="AO110" s="338"/>
      <c r="AP110" s="338"/>
      <c r="AQ110" s="339"/>
      <c r="AR110" s="337"/>
      <c r="AS110" s="338"/>
      <c r="AT110" s="338"/>
      <c r="AU110" s="338"/>
      <c r="AV110" s="339"/>
      <c r="AW110" s="337"/>
      <c r="AX110" s="338"/>
      <c r="AY110" s="338"/>
      <c r="AZ110" s="338"/>
      <c r="BA110" s="339"/>
    </row>
    <row r="111" spans="39:53" x14ac:dyDescent="0.4">
      <c r="AM111" s="120"/>
      <c r="AQ111" s="122"/>
      <c r="AV111" s="122"/>
      <c r="AW111" s="12"/>
      <c r="AX111" s="12"/>
      <c r="AY111" s="12"/>
      <c r="AZ111" s="11"/>
    </row>
    <row r="112" spans="39:53" x14ac:dyDescent="0.4">
      <c r="AM112" s="6" t="s">
        <v>432</v>
      </c>
      <c r="AN112" s="6" t="s">
        <v>433</v>
      </c>
      <c r="AO112" s="6" t="s">
        <v>434</v>
      </c>
      <c r="AP112" s="6" t="s">
        <v>435</v>
      </c>
      <c r="AQ112" s="6" t="s">
        <v>436</v>
      </c>
      <c r="AR112" s="6" t="s">
        <v>437</v>
      </c>
      <c r="AS112" s="6" t="s">
        <v>438</v>
      </c>
      <c r="AT112" s="6" t="s">
        <v>439</v>
      </c>
      <c r="AU112" s="6" t="s">
        <v>440</v>
      </c>
      <c r="AV112" s="6" t="s">
        <v>441</v>
      </c>
      <c r="AW112" s="6" t="s">
        <v>382</v>
      </c>
      <c r="AX112" s="6" t="s">
        <v>383</v>
      </c>
      <c r="AY112" s="6" t="s">
        <v>384</v>
      </c>
      <c r="AZ112" s="6" t="s">
        <v>385</v>
      </c>
      <c r="BA112" s="6" t="s">
        <v>386</v>
      </c>
    </row>
    <row r="113" spans="39:53" x14ac:dyDescent="0.4">
      <c r="AM113" s="4" t="s">
        <v>447</v>
      </c>
      <c r="AN113" s="4" t="s">
        <v>448</v>
      </c>
      <c r="AO113" s="4" t="s">
        <v>449</v>
      </c>
      <c r="AP113" s="4" t="s">
        <v>445</v>
      </c>
      <c r="AQ113" s="4" t="s">
        <v>450</v>
      </c>
      <c r="AR113" s="118" t="s">
        <v>447</v>
      </c>
      <c r="AS113" s="118" t="s">
        <v>448</v>
      </c>
      <c r="AT113" s="118" t="s">
        <v>451</v>
      </c>
      <c r="AU113" s="118" t="s">
        <v>449</v>
      </c>
      <c r="AV113" s="4" t="s">
        <v>445</v>
      </c>
      <c r="AW113" s="6" t="s">
        <v>442</v>
      </c>
      <c r="AX113" s="6" t="s">
        <v>443</v>
      </c>
      <c r="AY113" s="6" t="s">
        <v>444</v>
      </c>
      <c r="AZ113" s="6" t="s">
        <v>445</v>
      </c>
      <c r="BA113" s="6" t="s">
        <v>446</v>
      </c>
    </row>
    <row r="114" spans="39:53" x14ac:dyDescent="0.4">
      <c r="AM114" s="4" t="s">
        <v>457</v>
      </c>
      <c r="AN114" s="4" t="s">
        <v>458</v>
      </c>
      <c r="AO114" s="4" t="s">
        <v>445</v>
      </c>
      <c r="AP114" s="4" t="s">
        <v>456</v>
      </c>
      <c r="AQ114" s="4" t="s">
        <v>454</v>
      </c>
      <c r="AR114" s="118" t="s">
        <v>457</v>
      </c>
      <c r="AS114" s="118" t="s">
        <v>458</v>
      </c>
      <c r="AT114" s="118" t="s">
        <v>457</v>
      </c>
      <c r="AU114" s="118" t="s">
        <v>445</v>
      </c>
      <c r="AV114" s="4" t="s">
        <v>456</v>
      </c>
      <c r="AW114" s="6" t="s">
        <v>453</v>
      </c>
      <c r="AX114" s="6" t="s">
        <v>454</v>
      </c>
      <c r="AY114" s="6" t="s">
        <v>455</v>
      </c>
      <c r="AZ114" s="6" t="s">
        <v>456</v>
      </c>
      <c r="BA114" s="6" t="s">
        <v>457</v>
      </c>
    </row>
    <row r="115" spans="39:53" x14ac:dyDescent="0.4">
      <c r="AM115" s="4" t="s">
        <v>462</v>
      </c>
      <c r="AN115" s="4" t="s">
        <v>463</v>
      </c>
      <c r="AO115" s="4" t="s">
        <v>459</v>
      </c>
      <c r="AP115" s="4" t="s">
        <v>461</v>
      </c>
      <c r="AQ115" s="4" t="s">
        <v>462</v>
      </c>
      <c r="AR115" s="118" t="s">
        <v>462</v>
      </c>
      <c r="AS115" s="118" t="s">
        <v>463</v>
      </c>
      <c r="AT115" s="118" t="s">
        <v>453</v>
      </c>
      <c r="AU115" s="118" t="s">
        <v>459</v>
      </c>
      <c r="AV115" s="4" t="s">
        <v>461</v>
      </c>
      <c r="AW115" s="6" t="s">
        <v>457</v>
      </c>
      <c r="AX115" s="6" t="s">
        <v>459</v>
      </c>
      <c r="AY115" s="6" t="s">
        <v>460</v>
      </c>
      <c r="AZ115" s="6" t="s">
        <v>461</v>
      </c>
      <c r="BA115" s="6" t="s">
        <v>453</v>
      </c>
    </row>
    <row r="116" spans="39:53" x14ac:dyDescent="0.4">
      <c r="AN116" s="4" t="s">
        <v>466</v>
      </c>
      <c r="AR116" s="118"/>
      <c r="AS116" s="118" t="s">
        <v>466</v>
      </c>
      <c r="AT116" s="118" t="s">
        <v>467</v>
      </c>
      <c r="AU116" s="118"/>
      <c r="AV116" s="118"/>
      <c r="AW116" s="6" t="s">
        <v>464</v>
      </c>
      <c r="AX116" s="6" t="s">
        <v>465</v>
      </c>
      <c r="AY116" s="6"/>
      <c r="AZ116" s="6"/>
      <c r="BA116" s="6"/>
    </row>
    <row r="117" spans="39:53" x14ac:dyDescent="0.4">
      <c r="AM117" s="118"/>
      <c r="AN117" s="118"/>
      <c r="AO117" s="118"/>
      <c r="AP117" s="118"/>
      <c r="AQ117" s="118"/>
      <c r="AR117" s="118"/>
      <c r="AS117" s="118"/>
      <c r="AT117" s="118"/>
      <c r="AU117" s="118"/>
      <c r="AV117" s="118"/>
      <c r="AW117" s="118"/>
      <c r="AX117" s="118"/>
      <c r="AY117" s="118"/>
      <c r="AZ117" s="118"/>
      <c r="BA117" s="118"/>
    </row>
    <row r="118" spans="39:53" x14ac:dyDescent="0.4">
      <c r="AM118" s="118"/>
      <c r="AN118" s="118"/>
      <c r="AO118" s="118"/>
      <c r="AP118" s="118"/>
      <c r="AQ118" s="118"/>
      <c r="AR118" s="118"/>
      <c r="AS118" s="118"/>
      <c r="AT118" s="118"/>
      <c r="AU118" s="118"/>
      <c r="AV118" s="118"/>
      <c r="AW118" s="118"/>
      <c r="AX118" s="118"/>
      <c r="AY118" s="118"/>
      <c r="AZ118" s="118"/>
      <c r="BA118" s="118"/>
    </row>
    <row r="119" spans="39:53" x14ac:dyDescent="0.4">
      <c r="AM119" s="118"/>
      <c r="AN119" s="118"/>
      <c r="AO119" s="118"/>
      <c r="AP119" s="118"/>
      <c r="AQ119" s="118"/>
      <c r="AR119" s="118"/>
      <c r="AS119" s="118"/>
      <c r="AT119" s="118"/>
      <c r="AU119" s="118"/>
      <c r="AV119" s="118"/>
      <c r="AW119" s="118"/>
      <c r="AX119" s="118"/>
      <c r="AY119" s="118"/>
      <c r="AZ119" s="118"/>
      <c r="BA119" s="118"/>
    </row>
    <row r="120" spans="39:53" x14ac:dyDescent="0.4">
      <c r="AM120" s="118"/>
      <c r="AN120" s="118"/>
      <c r="AO120" s="118"/>
      <c r="AP120" s="118"/>
      <c r="AQ120" s="118"/>
      <c r="AR120" s="118"/>
      <c r="AS120" s="118"/>
      <c r="AT120" s="118"/>
      <c r="AU120" s="118"/>
      <c r="AV120" s="118"/>
      <c r="AW120" s="118"/>
      <c r="AX120" s="118"/>
      <c r="AY120" s="118"/>
      <c r="AZ120" s="118"/>
      <c r="BA120" s="118"/>
    </row>
    <row r="121" spans="39:53" x14ac:dyDescent="0.4">
      <c r="AM121" s="118"/>
      <c r="AN121" s="118"/>
      <c r="AO121" s="118"/>
      <c r="AP121" s="118"/>
      <c r="AQ121" s="118"/>
      <c r="AR121" s="118"/>
      <c r="AS121" s="118"/>
      <c r="AT121" s="118"/>
      <c r="AU121" s="118"/>
      <c r="AV121" s="118"/>
      <c r="AW121" s="118"/>
      <c r="AX121" s="118"/>
      <c r="AY121" s="118"/>
      <c r="AZ121" s="118"/>
      <c r="BA121" s="118"/>
    </row>
    <row r="122" spans="39:53" x14ac:dyDescent="0.4">
      <c r="AM122" s="118"/>
      <c r="AN122" s="118"/>
      <c r="AO122" s="118"/>
      <c r="AP122" s="118"/>
      <c r="AQ122" s="118"/>
      <c r="AR122" s="118"/>
      <c r="AS122" s="118"/>
      <c r="AT122" s="118"/>
      <c r="AU122" s="118"/>
      <c r="AV122" s="118"/>
      <c r="AW122" s="118"/>
      <c r="AX122" s="118"/>
      <c r="AY122" s="118"/>
      <c r="AZ122" s="118"/>
      <c r="BA122" s="118"/>
    </row>
    <row r="123" spans="39:53" x14ac:dyDescent="0.4">
      <c r="AM123" s="118"/>
      <c r="AN123" s="118"/>
      <c r="AO123" s="118"/>
      <c r="AP123" s="118"/>
      <c r="AQ123" s="118"/>
      <c r="AR123" s="118"/>
      <c r="AS123" s="118"/>
      <c r="AT123" s="118"/>
      <c r="AU123" s="118"/>
      <c r="AV123" s="118"/>
      <c r="AW123" s="118"/>
      <c r="AX123" s="118"/>
      <c r="AY123" s="118"/>
      <c r="AZ123" s="118"/>
      <c r="BA123" s="118"/>
    </row>
    <row r="124" spans="39:53" x14ac:dyDescent="0.4">
      <c r="AM124" s="118"/>
      <c r="AN124" s="118"/>
      <c r="AO124" s="118"/>
      <c r="AP124" s="118"/>
      <c r="AQ124" s="118"/>
      <c r="AR124" s="118"/>
      <c r="AS124" s="118"/>
      <c r="AT124" s="118"/>
      <c r="AU124" s="118"/>
      <c r="AV124" s="118"/>
      <c r="AW124" s="118"/>
      <c r="AX124" s="118"/>
      <c r="AY124" s="118"/>
      <c r="AZ124" s="118"/>
      <c r="BA124" s="118"/>
    </row>
  </sheetData>
  <sheetProtection algorithmName="SHA-512" hashValue="80v6ER71lh7Ylg+mg0rhlP9SfY4d6YlxeV09SQyzgyacy5/c+YkH31gqDtQvF5EyHh/Lt7fSkOPhGHivq4zg4g==" saltValue="R6dwFlUKuVW82I/a1RwRkQ==" spinCount="100000" sheet="1" objects="1" scenarios="1" selectLockedCells="1" selectUnlockedCells="1"/>
  <protectedRanges>
    <protectedRange sqref="F7:H7 H38 F8:F38 T7:T38 U7:V7 U8:U37 V8:V38 G8:H37" name="Listagem FTE"/>
  </protectedRanges>
  <mergeCells count="942">
    <mergeCell ref="VG41:VH41"/>
    <mergeCell ref="VG42:VH42"/>
    <mergeCell ref="VO22:VP22"/>
    <mergeCell ref="VO26:VP26"/>
    <mergeCell ref="VO27:VP27"/>
    <mergeCell ref="VO31:VP31"/>
    <mergeCell ref="VO32:VP32"/>
    <mergeCell ref="VO36:VP36"/>
    <mergeCell ref="VO37:VP37"/>
    <mergeCell ref="VO41:VP41"/>
    <mergeCell ref="VO42:VP42"/>
    <mergeCell ref="UQ41:UR41"/>
    <mergeCell ref="UQ42:UR42"/>
    <mergeCell ref="UY22:UZ22"/>
    <mergeCell ref="UY26:UZ26"/>
    <mergeCell ref="UY27:UZ27"/>
    <mergeCell ref="UY31:UZ31"/>
    <mergeCell ref="UY32:UZ32"/>
    <mergeCell ref="UY36:UZ36"/>
    <mergeCell ref="UY37:UZ37"/>
    <mergeCell ref="UY41:UZ41"/>
    <mergeCell ref="UY42:UZ42"/>
    <mergeCell ref="UA41:UB41"/>
    <mergeCell ref="UA42:UB42"/>
    <mergeCell ref="UI22:UJ22"/>
    <mergeCell ref="UI26:UJ26"/>
    <mergeCell ref="UI27:UJ27"/>
    <mergeCell ref="UI31:UJ31"/>
    <mergeCell ref="UI32:UJ32"/>
    <mergeCell ref="UI36:UJ36"/>
    <mergeCell ref="UI37:UJ37"/>
    <mergeCell ref="UI41:UJ41"/>
    <mergeCell ref="UI42:UJ42"/>
    <mergeCell ref="TK41:TL41"/>
    <mergeCell ref="TK42:TL42"/>
    <mergeCell ref="TS22:TT22"/>
    <mergeCell ref="TS26:TT26"/>
    <mergeCell ref="TS27:TT27"/>
    <mergeCell ref="TS31:TT31"/>
    <mergeCell ref="TS32:TT32"/>
    <mergeCell ref="TS36:TT36"/>
    <mergeCell ref="TS37:TT37"/>
    <mergeCell ref="TS41:TT41"/>
    <mergeCell ref="TS42:TT42"/>
    <mergeCell ref="SU41:SV41"/>
    <mergeCell ref="SU42:SV42"/>
    <mergeCell ref="TC22:TD22"/>
    <mergeCell ref="TC26:TD26"/>
    <mergeCell ref="TC27:TD27"/>
    <mergeCell ref="TC31:TD31"/>
    <mergeCell ref="TC32:TD32"/>
    <mergeCell ref="TC36:TD36"/>
    <mergeCell ref="TC37:TD37"/>
    <mergeCell ref="TC41:TD41"/>
    <mergeCell ref="TC42:TD42"/>
    <mergeCell ref="SE41:SF41"/>
    <mergeCell ref="SE42:SF42"/>
    <mergeCell ref="SM22:SN22"/>
    <mergeCell ref="SM26:SN26"/>
    <mergeCell ref="SM27:SN27"/>
    <mergeCell ref="SM31:SN31"/>
    <mergeCell ref="SM32:SN32"/>
    <mergeCell ref="SM36:SN36"/>
    <mergeCell ref="SM37:SN37"/>
    <mergeCell ref="SM41:SN41"/>
    <mergeCell ref="SM42:SN42"/>
    <mergeCell ref="RO41:RP41"/>
    <mergeCell ref="RO42:RP42"/>
    <mergeCell ref="RW22:RX22"/>
    <mergeCell ref="RW26:RX26"/>
    <mergeCell ref="RW27:RX27"/>
    <mergeCell ref="RW31:RX31"/>
    <mergeCell ref="RW32:RX32"/>
    <mergeCell ref="RW36:RX36"/>
    <mergeCell ref="RW37:RX37"/>
    <mergeCell ref="RW41:RX41"/>
    <mergeCell ref="RW42:RX42"/>
    <mergeCell ref="QY41:QZ41"/>
    <mergeCell ref="QY42:QZ42"/>
    <mergeCell ref="RG22:RH22"/>
    <mergeCell ref="RG26:RH26"/>
    <mergeCell ref="RG27:RH27"/>
    <mergeCell ref="RG31:RH31"/>
    <mergeCell ref="RG32:RH32"/>
    <mergeCell ref="RG36:RH36"/>
    <mergeCell ref="RG37:RH37"/>
    <mergeCell ref="RG41:RH41"/>
    <mergeCell ref="RG42:RH42"/>
    <mergeCell ref="QI41:QJ41"/>
    <mergeCell ref="QI42:QJ42"/>
    <mergeCell ref="QQ22:QR22"/>
    <mergeCell ref="QQ26:QR26"/>
    <mergeCell ref="QQ27:QR27"/>
    <mergeCell ref="QQ31:QR31"/>
    <mergeCell ref="QQ32:QR32"/>
    <mergeCell ref="QQ36:QR36"/>
    <mergeCell ref="QQ37:QR37"/>
    <mergeCell ref="QQ41:QR41"/>
    <mergeCell ref="QQ42:QR42"/>
    <mergeCell ref="PS41:PT41"/>
    <mergeCell ref="PS42:PT42"/>
    <mergeCell ref="QA22:QB22"/>
    <mergeCell ref="QA26:QB26"/>
    <mergeCell ref="QA27:QB27"/>
    <mergeCell ref="QA31:QB31"/>
    <mergeCell ref="QA32:QB32"/>
    <mergeCell ref="QA36:QB36"/>
    <mergeCell ref="QA37:QB37"/>
    <mergeCell ref="QA41:QB41"/>
    <mergeCell ref="QA42:QB42"/>
    <mergeCell ref="PC41:PD41"/>
    <mergeCell ref="PC42:PD42"/>
    <mergeCell ref="PK22:PL22"/>
    <mergeCell ref="PK26:PL26"/>
    <mergeCell ref="PK27:PL27"/>
    <mergeCell ref="PK31:PL31"/>
    <mergeCell ref="PK32:PL32"/>
    <mergeCell ref="PK36:PL36"/>
    <mergeCell ref="PK37:PL37"/>
    <mergeCell ref="PK41:PL41"/>
    <mergeCell ref="PK42:PL42"/>
    <mergeCell ref="OM41:ON41"/>
    <mergeCell ref="OM42:ON42"/>
    <mergeCell ref="OU22:OV22"/>
    <mergeCell ref="OU26:OV26"/>
    <mergeCell ref="OU27:OV27"/>
    <mergeCell ref="OU31:OV31"/>
    <mergeCell ref="OU32:OV32"/>
    <mergeCell ref="OU36:OV36"/>
    <mergeCell ref="OU37:OV37"/>
    <mergeCell ref="OU41:OV41"/>
    <mergeCell ref="OU42:OV42"/>
    <mergeCell ref="NW41:NX41"/>
    <mergeCell ref="NW42:NX42"/>
    <mergeCell ref="OE22:OF22"/>
    <mergeCell ref="OE26:OF26"/>
    <mergeCell ref="OE27:OF27"/>
    <mergeCell ref="OE31:OF31"/>
    <mergeCell ref="OE32:OF32"/>
    <mergeCell ref="OE36:OF36"/>
    <mergeCell ref="OE37:OF37"/>
    <mergeCell ref="OE41:OF41"/>
    <mergeCell ref="OE42:OF42"/>
    <mergeCell ref="MY41:MZ41"/>
    <mergeCell ref="MY42:MZ42"/>
    <mergeCell ref="NO22:NP22"/>
    <mergeCell ref="NO26:NP26"/>
    <mergeCell ref="NO27:NP27"/>
    <mergeCell ref="NO31:NP31"/>
    <mergeCell ref="NO32:NP32"/>
    <mergeCell ref="NO36:NP36"/>
    <mergeCell ref="NO37:NP37"/>
    <mergeCell ref="NO41:NP41"/>
    <mergeCell ref="NO42:NP42"/>
    <mergeCell ref="NG22:NH22"/>
    <mergeCell ref="NG26:NH26"/>
    <mergeCell ref="NG27:NH27"/>
    <mergeCell ref="NG31:NH31"/>
    <mergeCell ref="NG32:NH32"/>
    <mergeCell ref="NG36:NH36"/>
    <mergeCell ref="NG37:NH37"/>
    <mergeCell ref="NG41:NH41"/>
    <mergeCell ref="NG42:NH42"/>
    <mergeCell ref="NC1:NC40"/>
    <mergeCell ref="MW3:NA4"/>
    <mergeCell ref="MY16:MZ16"/>
    <mergeCell ref="MY17:MZ17"/>
    <mergeCell ref="MI41:MJ41"/>
    <mergeCell ref="MI42:MJ42"/>
    <mergeCell ref="MQ22:MR22"/>
    <mergeCell ref="MQ26:MR26"/>
    <mergeCell ref="MQ27:MR27"/>
    <mergeCell ref="MQ31:MR31"/>
    <mergeCell ref="MQ32:MR32"/>
    <mergeCell ref="MQ36:MR36"/>
    <mergeCell ref="MQ37:MR37"/>
    <mergeCell ref="MQ41:MR41"/>
    <mergeCell ref="MQ42:MR42"/>
    <mergeCell ref="MM1:MM40"/>
    <mergeCell ref="MG3:MK4"/>
    <mergeCell ref="MI16:MJ16"/>
    <mergeCell ref="MI17:MJ17"/>
    <mergeCell ref="MI21:MJ21"/>
    <mergeCell ref="LS41:LT41"/>
    <mergeCell ref="LS42:LT42"/>
    <mergeCell ref="MA22:MB22"/>
    <mergeCell ref="MA26:MB26"/>
    <mergeCell ref="MA27:MB27"/>
    <mergeCell ref="MA31:MB31"/>
    <mergeCell ref="MA32:MB32"/>
    <mergeCell ref="MA36:MB36"/>
    <mergeCell ref="MA37:MB37"/>
    <mergeCell ref="MA41:MB41"/>
    <mergeCell ref="MA42:MB42"/>
    <mergeCell ref="LW1:LW40"/>
    <mergeCell ref="LQ3:LU4"/>
    <mergeCell ref="LS16:LT16"/>
    <mergeCell ref="LS17:LT17"/>
    <mergeCell ref="LS21:LT21"/>
    <mergeCell ref="LC41:LD41"/>
    <mergeCell ref="LC42:LD42"/>
    <mergeCell ref="LK22:LL22"/>
    <mergeCell ref="LK26:LL26"/>
    <mergeCell ref="LK27:LL27"/>
    <mergeCell ref="LK31:LL31"/>
    <mergeCell ref="LK32:LL32"/>
    <mergeCell ref="LK36:LL36"/>
    <mergeCell ref="LK37:LL37"/>
    <mergeCell ref="LK41:LL41"/>
    <mergeCell ref="LK42:LL42"/>
    <mergeCell ref="LG1:LG40"/>
    <mergeCell ref="LA3:LE4"/>
    <mergeCell ref="LC16:LD16"/>
    <mergeCell ref="LC17:LD17"/>
    <mergeCell ref="LC21:LD21"/>
    <mergeCell ref="KM41:KN41"/>
    <mergeCell ref="KM42:KN42"/>
    <mergeCell ref="KU22:KV22"/>
    <mergeCell ref="KU26:KV26"/>
    <mergeCell ref="KU27:KV27"/>
    <mergeCell ref="KU31:KV31"/>
    <mergeCell ref="KU32:KV32"/>
    <mergeCell ref="KU36:KV36"/>
    <mergeCell ref="KU37:KV37"/>
    <mergeCell ref="KU41:KV41"/>
    <mergeCell ref="KU42:KV42"/>
    <mergeCell ref="KQ1:KQ40"/>
    <mergeCell ref="KK3:KO4"/>
    <mergeCell ref="KM16:KN16"/>
    <mergeCell ref="KM17:KN17"/>
    <mergeCell ref="KM21:KN21"/>
    <mergeCell ref="JW41:JX41"/>
    <mergeCell ref="JW42:JX42"/>
    <mergeCell ref="KE22:KF22"/>
    <mergeCell ref="KE26:KF26"/>
    <mergeCell ref="KE27:KF27"/>
    <mergeCell ref="KE31:KF31"/>
    <mergeCell ref="KE32:KF32"/>
    <mergeCell ref="KE36:KF36"/>
    <mergeCell ref="KE37:KF37"/>
    <mergeCell ref="KE41:KF41"/>
    <mergeCell ref="KE42:KF42"/>
    <mergeCell ref="KA1:KA40"/>
    <mergeCell ref="JU3:JY4"/>
    <mergeCell ref="JW16:JX16"/>
    <mergeCell ref="JW17:JX17"/>
    <mergeCell ref="JW21:JX21"/>
    <mergeCell ref="JG41:JH41"/>
    <mergeCell ref="JG42:JH42"/>
    <mergeCell ref="JO22:JP22"/>
    <mergeCell ref="JO26:JP26"/>
    <mergeCell ref="JO27:JP27"/>
    <mergeCell ref="JO31:JP31"/>
    <mergeCell ref="JO32:JP32"/>
    <mergeCell ref="JO36:JP36"/>
    <mergeCell ref="JO37:JP37"/>
    <mergeCell ref="JO41:JP41"/>
    <mergeCell ref="JO42:JP42"/>
    <mergeCell ref="JK1:JK40"/>
    <mergeCell ref="JE3:JI4"/>
    <mergeCell ref="JG16:JH16"/>
    <mergeCell ref="JG17:JH17"/>
    <mergeCell ref="JG21:JH21"/>
    <mergeCell ref="IQ41:IR41"/>
    <mergeCell ref="IQ42:IR42"/>
    <mergeCell ref="IY22:IZ22"/>
    <mergeCell ref="IY26:IZ26"/>
    <mergeCell ref="IY27:IZ27"/>
    <mergeCell ref="IY31:IZ31"/>
    <mergeCell ref="IY32:IZ32"/>
    <mergeCell ref="IY36:IZ36"/>
    <mergeCell ref="IY37:IZ37"/>
    <mergeCell ref="IY41:IZ41"/>
    <mergeCell ref="IY42:IZ42"/>
    <mergeCell ref="IU1:IU40"/>
    <mergeCell ref="IO3:IS4"/>
    <mergeCell ref="IQ16:IR16"/>
    <mergeCell ref="IQ17:IR17"/>
    <mergeCell ref="IQ21:IR21"/>
    <mergeCell ref="IA41:IB41"/>
    <mergeCell ref="IA42:IB42"/>
    <mergeCell ref="II22:IJ22"/>
    <mergeCell ref="II26:IJ26"/>
    <mergeCell ref="II27:IJ27"/>
    <mergeCell ref="II31:IJ31"/>
    <mergeCell ref="II32:IJ32"/>
    <mergeCell ref="II36:IJ36"/>
    <mergeCell ref="II37:IJ37"/>
    <mergeCell ref="II41:IJ41"/>
    <mergeCell ref="II42:IJ42"/>
    <mergeCell ref="IE1:IE40"/>
    <mergeCell ref="HY3:IC4"/>
    <mergeCell ref="IA16:IB16"/>
    <mergeCell ref="IA17:IB17"/>
    <mergeCell ref="IA21:IB21"/>
    <mergeCell ref="HK41:HL41"/>
    <mergeCell ref="HK42:HL42"/>
    <mergeCell ref="HS22:HT22"/>
    <mergeCell ref="HS26:HT26"/>
    <mergeCell ref="HS27:HT27"/>
    <mergeCell ref="HS31:HT31"/>
    <mergeCell ref="HS32:HT32"/>
    <mergeCell ref="HS36:HT36"/>
    <mergeCell ref="HS37:HT37"/>
    <mergeCell ref="HS41:HT41"/>
    <mergeCell ref="HS42:HT42"/>
    <mergeCell ref="HO1:HO40"/>
    <mergeCell ref="HI3:HM4"/>
    <mergeCell ref="HK16:HL16"/>
    <mergeCell ref="HK17:HL17"/>
    <mergeCell ref="HK21:HL21"/>
    <mergeCell ref="GU41:GV41"/>
    <mergeCell ref="GU42:GV42"/>
    <mergeCell ref="HC22:HD22"/>
    <mergeCell ref="HC26:HD26"/>
    <mergeCell ref="HC27:HD27"/>
    <mergeCell ref="HC31:HD31"/>
    <mergeCell ref="HC32:HD32"/>
    <mergeCell ref="HC36:HD36"/>
    <mergeCell ref="HC37:HD37"/>
    <mergeCell ref="HC41:HD41"/>
    <mergeCell ref="HC42:HD42"/>
    <mergeCell ref="GY1:GY40"/>
    <mergeCell ref="GS3:GW4"/>
    <mergeCell ref="GU16:GV16"/>
    <mergeCell ref="GU17:GV17"/>
    <mergeCell ref="GU21:GV21"/>
    <mergeCell ref="GE41:GF41"/>
    <mergeCell ref="GE42:GF42"/>
    <mergeCell ref="GM22:GN22"/>
    <mergeCell ref="GM26:GN26"/>
    <mergeCell ref="GM27:GN27"/>
    <mergeCell ref="GM31:GN31"/>
    <mergeCell ref="GM32:GN32"/>
    <mergeCell ref="GM36:GN36"/>
    <mergeCell ref="GM37:GN37"/>
    <mergeCell ref="GM41:GN41"/>
    <mergeCell ref="GM42:GN42"/>
    <mergeCell ref="FO41:FP41"/>
    <mergeCell ref="FO42:FP42"/>
    <mergeCell ref="FW22:FX22"/>
    <mergeCell ref="FW26:FX26"/>
    <mergeCell ref="FW27:FX27"/>
    <mergeCell ref="FW31:FX31"/>
    <mergeCell ref="FW32:FX32"/>
    <mergeCell ref="FW36:FX36"/>
    <mergeCell ref="FW37:FX37"/>
    <mergeCell ref="FW41:FX41"/>
    <mergeCell ref="FW42:FX42"/>
    <mergeCell ref="EQ41:ER41"/>
    <mergeCell ref="EQ42:ER42"/>
    <mergeCell ref="EY42:EZ42"/>
    <mergeCell ref="FG21:FH21"/>
    <mergeCell ref="FG22:FH22"/>
    <mergeCell ref="FG26:FH26"/>
    <mergeCell ref="FG27:FH27"/>
    <mergeCell ref="FG31:FH31"/>
    <mergeCell ref="FG32:FH32"/>
    <mergeCell ref="FG36:FH36"/>
    <mergeCell ref="FG37:FH37"/>
    <mergeCell ref="FG41:FH41"/>
    <mergeCell ref="FG42:FH42"/>
    <mergeCell ref="EY21:EZ21"/>
    <mergeCell ref="EY22:EZ22"/>
    <mergeCell ref="EY26:EZ26"/>
    <mergeCell ref="EY27:EZ27"/>
    <mergeCell ref="EY31:EZ31"/>
    <mergeCell ref="EY32:EZ32"/>
    <mergeCell ref="EY36:EZ36"/>
    <mergeCell ref="EY37:EZ37"/>
    <mergeCell ref="EY41:EZ41"/>
    <mergeCell ref="FC1:FC40"/>
    <mergeCell ref="EW3:FA4"/>
    <mergeCell ref="EA42:EB42"/>
    <mergeCell ref="EI22:EJ22"/>
    <mergeCell ref="EI26:EJ26"/>
    <mergeCell ref="EI27:EJ27"/>
    <mergeCell ref="EI31:EJ31"/>
    <mergeCell ref="EI32:EJ32"/>
    <mergeCell ref="EI36:EJ36"/>
    <mergeCell ref="EI37:EJ37"/>
    <mergeCell ref="EI41:EJ41"/>
    <mergeCell ref="EI42:EJ42"/>
    <mergeCell ref="EA32:EB32"/>
    <mergeCell ref="EA36:EB36"/>
    <mergeCell ref="EA37:EB37"/>
    <mergeCell ref="DC42:DD42"/>
    <mergeCell ref="DK42:DL42"/>
    <mergeCell ref="DS21:DT21"/>
    <mergeCell ref="DS22:DT22"/>
    <mergeCell ref="DS26:DT26"/>
    <mergeCell ref="DS27:DT27"/>
    <mergeCell ref="DS31:DT31"/>
    <mergeCell ref="DS32:DT32"/>
    <mergeCell ref="DS36:DT36"/>
    <mergeCell ref="DS37:DT37"/>
    <mergeCell ref="DS41:DT41"/>
    <mergeCell ref="DS42:DT42"/>
    <mergeCell ref="DK21:DL21"/>
    <mergeCell ref="DK22:DL22"/>
    <mergeCell ref="DK26:DL26"/>
    <mergeCell ref="DK27:DL27"/>
    <mergeCell ref="DK31:DL31"/>
    <mergeCell ref="DK32:DL32"/>
    <mergeCell ref="DK36:DL36"/>
    <mergeCell ref="DK37:DL37"/>
    <mergeCell ref="DK41:DL41"/>
    <mergeCell ref="VS1:VS40"/>
    <mergeCell ref="VM3:VQ4"/>
    <mergeCell ref="VO16:VP16"/>
    <mergeCell ref="VO17:VP17"/>
    <mergeCell ref="VO21:VP21"/>
    <mergeCell ref="BW21:BX21"/>
    <mergeCell ref="BW22:BX22"/>
    <mergeCell ref="BW26:BX26"/>
    <mergeCell ref="BW27:BX27"/>
    <mergeCell ref="BW31:BX31"/>
    <mergeCell ref="BW32:BX32"/>
    <mergeCell ref="BW36:BX36"/>
    <mergeCell ref="BW37:BX37"/>
    <mergeCell ref="CE16:CF16"/>
    <mergeCell ref="CE17:CF17"/>
    <mergeCell ref="CE21:CF21"/>
    <mergeCell ref="CE22:CF22"/>
    <mergeCell ref="CM21:CN21"/>
    <mergeCell ref="CM22:CN22"/>
    <mergeCell ref="CM26:CN26"/>
    <mergeCell ref="VC1:VC40"/>
    <mergeCell ref="UW3:VA4"/>
    <mergeCell ref="UY16:UZ16"/>
    <mergeCell ref="UY17:UZ17"/>
    <mergeCell ref="UY21:UZ21"/>
    <mergeCell ref="VK1:VK40"/>
    <mergeCell ref="VE3:VI4"/>
    <mergeCell ref="VG16:VH16"/>
    <mergeCell ref="VG17:VH17"/>
    <mergeCell ref="VG21:VH21"/>
    <mergeCell ref="VG22:VH22"/>
    <mergeCell ref="VG26:VH26"/>
    <mergeCell ref="VG27:VH27"/>
    <mergeCell ref="VG31:VH31"/>
    <mergeCell ref="VG32:VH32"/>
    <mergeCell ref="VG36:VH36"/>
    <mergeCell ref="VG37:VH37"/>
    <mergeCell ref="UM1:UM40"/>
    <mergeCell ref="UG3:UK4"/>
    <mergeCell ref="UI16:UJ16"/>
    <mergeCell ref="UI17:UJ17"/>
    <mergeCell ref="UI21:UJ21"/>
    <mergeCell ref="UU1:UU40"/>
    <mergeCell ref="UO3:US4"/>
    <mergeCell ref="UQ16:UR16"/>
    <mergeCell ref="UQ17:UR17"/>
    <mergeCell ref="UQ21:UR21"/>
    <mergeCell ref="UQ22:UR22"/>
    <mergeCell ref="UQ26:UR26"/>
    <mergeCell ref="UQ27:UR27"/>
    <mergeCell ref="UQ31:UR31"/>
    <mergeCell ref="UQ32:UR32"/>
    <mergeCell ref="UQ36:UR36"/>
    <mergeCell ref="UQ37:UR37"/>
    <mergeCell ref="TW1:TW40"/>
    <mergeCell ref="TQ3:TU4"/>
    <mergeCell ref="TS16:TT16"/>
    <mergeCell ref="TS17:TT17"/>
    <mergeCell ref="TS21:TT21"/>
    <mergeCell ref="UE1:UE40"/>
    <mergeCell ref="TY3:UC4"/>
    <mergeCell ref="UA16:UB16"/>
    <mergeCell ref="UA17:UB17"/>
    <mergeCell ref="UA21:UB21"/>
    <mergeCell ref="UA22:UB22"/>
    <mergeCell ref="UA26:UB26"/>
    <mergeCell ref="UA27:UB27"/>
    <mergeCell ref="UA31:UB31"/>
    <mergeCell ref="UA32:UB32"/>
    <mergeCell ref="UA36:UB36"/>
    <mergeCell ref="UA37:UB37"/>
    <mergeCell ref="TG1:TG40"/>
    <mergeCell ref="TA3:TE4"/>
    <mergeCell ref="TC16:TD16"/>
    <mergeCell ref="TC17:TD17"/>
    <mergeCell ref="TC21:TD21"/>
    <mergeCell ref="TO1:TO40"/>
    <mergeCell ref="TI3:TM4"/>
    <mergeCell ref="TK16:TL16"/>
    <mergeCell ref="TK17:TL17"/>
    <mergeCell ref="TK21:TL21"/>
    <mergeCell ref="TK22:TL22"/>
    <mergeCell ref="TK26:TL26"/>
    <mergeCell ref="TK27:TL27"/>
    <mergeCell ref="TK31:TL31"/>
    <mergeCell ref="TK32:TL32"/>
    <mergeCell ref="TK36:TL36"/>
    <mergeCell ref="TK37:TL37"/>
    <mergeCell ref="SQ1:SQ40"/>
    <mergeCell ref="SK3:SO4"/>
    <mergeCell ref="SM16:SN16"/>
    <mergeCell ref="SM17:SN17"/>
    <mergeCell ref="SM21:SN21"/>
    <mergeCell ref="SY1:SY40"/>
    <mergeCell ref="SS3:SW4"/>
    <mergeCell ref="SU16:SV16"/>
    <mergeCell ref="SU17:SV17"/>
    <mergeCell ref="SU21:SV21"/>
    <mergeCell ref="SU22:SV22"/>
    <mergeCell ref="SU26:SV26"/>
    <mergeCell ref="SU27:SV27"/>
    <mergeCell ref="SU31:SV31"/>
    <mergeCell ref="SU32:SV32"/>
    <mergeCell ref="SU36:SV36"/>
    <mergeCell ref="SU37:SV37"/>
    <mergeCell ref="SA1:SA40"/>
    <mergeCell ref="RU3:RY4"/>
    <mergeCell ref="RW16:RX16"/>
    <mergeCell ref="RW17:RX17"/>
    <mergeCell ref="RW21:RX21"/>
    <mergeCell ref="SI1:SI40"/>
    <mergeCell ref="SC3:SG4"/>
    <mergeCell ref="SE16:SF16"/>
    <mergeCell ref="SE17:SF17"/>
    <mergeCell ref="SE21:SF21"/>
    <mergeCell ref="SE22:SF22"/>
    <mergeCell ref="SE26:SF26"/>
    <mergeCell ref="SE27:SF27"/>
    <mergeCell ref="SE31:SF31"/>
    <mergeCell ref="SE32:SF32"/>
    <mergeCell ref="SE36:SF36"/>
    <mergeCell ref="SE37:SF37"/>
    <mergeCell ref="RK1:RK40"/>
    <mergeCell ref="RE3:RI4"/>
    <mergeCell ref="RG16:RH16"/>
    <mergeCell ref="RG17:RH17"/>
    <mergeCell ref="RG21:RH21"/>
    <mergeCell ref="RS1:RS40"/>
    <mergeCell ref="RM3:RQ4"/>
    <mergeCell ref="RO16:RP16"/>
    <mergeCell ref="RO17:RP17"/>
    <mergeCell ref="RO21:RP21"/>
    <mergeCell ref="RO22:RP22"/>
    <mergeCell ref="RO26:RP26"/>
    <mergeCell ref="RO27:RP27"/>
    <mergeCell ref="RO31:RP31"/>
    <mergeCell ref="RO32:RP32"/>
    <mergeCell ref="RO36:RP36"/>
    <mergeCell ref="RO37:RP37"/>
    <mergeCell ref="QU1:QU40"/>
    <mergeCell ref="QO3:QS4"/>
    <mergeCell ref="QQ16:QR16"/>
    <mergeCell ref="QQ17:QR17"/>
    <mergeCell ref="QQ21:QR21"/>
    <mergeCell ref="RC1:RC40"/>
    <mergeCell ref="QW3:RA4"/>
    <mergeCell ref="QY16:QZ16"/>
    <mergeCell ref="QY17:QZ17"/>
    <mergeCell ref="QY21:QZ21"/>
    <mergeCell ref="QY22:QZ22"/>
    <mergeCell ref="QY26:QZ26"/>
    <mergeCell ref="QY27:QZ27"/>
    <mergeCell ref="QY31:QZ31"/>
    <mergeCell ref="QY32:QZ32"/>
    <mergeCell ref="QY36:QZ36"/>
    <mergeCell ref="QY37:QZ37"/>
    <mergeCell ref="QE1:QE40"/>
    <mergeCell ref="PY3:QC4"/>
    <mergeCell ref="QA16:QB16"/>
    <mergeCell ref="QA17:QB17"/>
    <mergeCell ref="QA21:QB21"/>
    <mergeCell ref="QM1:QM40"/>
    <mergeCell ref="QG3:QK4"/>
    <mergeCell ref="QI16:QJ16"/>
    <mergeCell ref="QI17:QJ17"/>
    <mergeCell ref="QI21:QJ21"/>
    <mergeCell ref="QI22:QJ22"/>
    <mergeCell ref="QI26:QJ26"/>
    <mergeCell ref="QI27:QJ27"/>
    <mergeCell ref="QI31:QJ31"/>
    <mergeCell ref="QI32:QJ32"/>
    <mergeCell ref="QI36:QJ36"/>
    <mergeCell ref="QI37:QJ37"/>
    <mergeCell ref="PO1:PO40"/>
    <mergeCell ref="PI3:PM4"/>
    <mergeCell ref="PK16:PL16"/>
    <mergeCell ref="PK17:PL17"/>
    <mergeCell ref="PK21:PL21"/>
    <mergeCell ref="PW1:PW40"/>
    <mergeCell ref="PQ3:PU4"/>
    <mergeCell ref="PS16:PT16"/>
    <mergeCell ref="PS17:PT17"/>
    <mergeCell ref="PS21:PT21"/>
    <mergeCell ref="PS22:PT22"/>
    <mergeCell ref="PS26:PT26"/>
    <mergeCell ref="PS27:PT27"/>
    <mergeCell ref="PS31:PT31"/>
    <mergeCell ref="PS32:PT32"/>
    <mergeCell ref="PS36:PT36"/>
    <mergeCell ref="PS37:PT37"/>
    <mergeCell ref="OY1:OY40"/>
    <mergeCell ref="OS3:OW4"/>
    <mergeCell ref="OU16:OV16"/>
    <mergeCell ref="OU17:OV17"/>
    <mergeCell ref="OU21:OV21"/>
    <mergeCell ref="PG1:PG40"/>
    <mergeCell ref="PA3:PE4"/>
    <mergeCell ref="PC16:PD16"/>
    <mergeCell ref="PC17:PD17"/>
    <mergeCell ref="PC21:PD21"/>
    <mergeCell ref="PC22:PD22"/>
    <mergeCell ref="PC26:PD26"/>
    <mergeCell ref="PC27:PD27"/>
    <mergeCell ref="PC31:PD31"/>
    <mergeCell ref="PC32:PD32"/>
    <mergeCell ref="PC36:PD36"/>
    <mergeCell ref="PC37:PD37"/>
    <mergeCell ref="OI1:OI40"/>
    <mergeCell ref="OC3:OG4"/>
    <mergeCell ref="OE16:OF16"/>
    <mergeCell ref="OE17:OF17"/>
    <mergeCell ref="OE21:OF21"/>
    <mergeCell ref="OQ1:OQ40"/>
    <mergeCell ref="OK3:OO4"/>
    <mergeCell ref="OM16:ON16"/>
    <mergeCell ref="OM17:ON17"/>
    <mergeCell ref="OM21:ON21"/>
    <mergeCell ref="OM22:ON22"/>
    <mergeCell ref="OM26:ON26"/>
    <mergeCell ref="OM27:ON27"/>
    <mergeCell ref="OM31:ON31"/>
    <mergeCell ref="OM32:ON32"/>
    <mergeCell ref="OM36:ON36"/>
    <mergeCell ref="OM37:ON37"/>
    <mergeCell ref="NS1:NS40"/>
    <mergeCell ref="NM3:NQ4"/>
    <mergeCell ref="NO16:NP16"/>
    <mergeCell ref="NO17:NP17"/>
    <mergeCell ref="NO21:NP21"/>
    <mergeCell ref="OA1:OA40"/>
    <mergeCell ref="NU3:NY4"/>
    <mergeCell ref="NW16:NX16"/>
    <mergeCell ref="NW17:NX17"/>
    <mergeCell ref="NW21:NX21"/>
    <mergeCell ref="NW22:NX22"/>
    <mergeCell ref="NW26:NX26"/>
    <mergeCell ref="NW27:NX27"/>
    <mergeCell ref="NW31:NX31"/>
    <mergeCell ref="NW32:NX32"/>
    <mergeCell ref="NW36:NX36"/>
    <mergeCell ref="NW37:NX37"/>
    <mergeCell ref="MY21:MZ21"/>
    <mergeCell ref="NK1:NK40"/>
    <mergeCell ref="NE3:NI4"/>
    <mergeCell ref="NG16:NH16"/>
    <mergeCell ref="NG17:NH17"/>
    <mergeCell ref="NG21:NH21"/>
    <mergeCell ref="MY22:MZ22"/>
    <mergeCell ref="MY26:MZ26"/>
    <mergeCell ref="MY27:MZ27"/>
    <mergeCell ref="MY31:MZ31"/>
    <mergeCell ref="MY32:MZ32"/>
    <mergeCell ref="MY36:MZ36"/>
    <mergeCell ref="MY37:MZ37"/>
    <mergeCell ref="MU1:MU40"/>
    <mergeCell ref="MO3:MS4"/>
    <mergeCell ref="MQ16:MR16"/>
    <mergeCell ref="MQ17:MR17"/>
    <mergeCell ref="MQ21:MR21"/>
    <mergeCell ref="MI22:MJ22"/>
    <mergeCell ref="MI26:MJ26"/>
    <mergeCell ref="MI27:MJ27"/>
    <mergeCell ref="MI31:MJ31"/>
    <mergeCell ref="MI32:MJ32"/>
    <mergeCell ref="MI36:MJ36"/>
    <mergeCell ref="MI37:MJ37"/>
    <mergeCell ref="ME1:ME40"/>
    <mergeCell ref="LY3:MC4"/>
    <mergeCell ref="MA16:MB16"/>
    <mergeCell ref="MA17:MB17"/>
    <mergeCell ref="MA21:MB21"/>
    <mergeCell ref="LS22:LT22"/>
    <mergeCell ref="LS26:LT26"/>
    <mergeCell ref="LS27:LT27"/>
    <mergeCell ref="LS31:LT31"/>
    <mergeCell ref="LS32:LT32"/>
    <mergeCell ref="LS36:LT36"/>
    <mergeCell ref="LS37:LT37"/>
    <mergeCell ref="LO1:LO40"/>
    <mergeCell ref="LI3:LM4"/>
    <mergeCell ref="LK16:LL16"/>
    <mergeCell ref="LK17:LL17"/>
    <mergeCell ref="LK21:LL21"/>
    <mergeCell ref="LC22:LD22"/>
    <mergeCell ref="LC26:LD26"/>
    <mergeCell ref="LC27:LD27"/>
    <mergeCell ref="LC31:LD31"/>
    <mergeCell ref="LC32:LD32"/>
    <mergeCell ref="LC36:LD36"/>
    <mergeCell ref="LC37:LD37"/>
    <mergeCell ref="KY1:KY40"/>
    <mergeCell ref="KS3:KW4"/>
    <mergeCell ref="KU16:KV16"/>
    <mergeCell ref="KU17:KV17"/>
    <mergeCell ref="KU21:KV21"/>
    <mergeCell ref="KM22:KN22"/>
    <mergeCell ref="KM26:KN26"/>
    <mergeCell ref="KM27:KN27"/>
    <mergeCell ref="KM31:KN31"/>
    <mergeCell ref="KM32:KN32"/>
    <mergeCell ref="KM36:KN36"/>
    <mergeCell ref="KM37:KN37"/>
    <mergeCell ref="KI1:KI40"/>
    <mergeCell ref="KC3:KG4"/>
    <mergeCell ref="KE16:KF16"/>
    <mergeCell ref="KE17:KF17"/>
    <mergeCell ref="KE21:KF21"/>
    <mergeCell ref="JW22:JX22"/>
    <mergeCell ref="JW26:JX26"/>
    <mergeCell ref="JW27:JX27"/>
    <mergeCell ref="JW31:JX31"/>
    <mergeCell ref="JW32:JX32"/>
    <mergeCell ref="JW36:JX36"/>
    <mergeCell ref="JW37:JX37"/>
    <mergeCell ref="JS1:JS40"/>
    <mergeCell ref="JM3:JQ4"/>
    <mergeCell ref="JO16:JP16"/>
    <mergeCell ref="JO17:JP17"/>
    <mergeCell ref="JO21:JP21"/>
    <mergeCell ref="JG22:JH22"/>
    <mergeCell ref="JG26:JH26"/>
    <mergeCell ref="JG27:JH27"/>
    <mergeCell ref="JG31:JH31"/>
    <mergeCell ref="JG32:JH32"/>
    <mergeCell ref="JG36:JH36"/>
    <mergeCell ref="JG37:JH37"/>
    <mergeCell ref="JC1:JC40"/>
    <mergeCell ref="IW3:JA4"/>
    <mergeCell ref="IY16:IZ16"/>
    <mergeCell ref="IY17:IZ17"/>
    <mergeCell ref="IY21:IZ21"/>
    <mergeCell ref="IQ22:IR22"/>
    <mergeCell ref="IQ26:IR26"/>
    <mergeCell ref="IQ27:IR27"/>
    <mergeCell ref="IQ31:IR31"/>
    <mergeCell ref="IQ32:IR32"/>
    <mergeCell ref="IQ36:IR36"/>
    <mergeCell ref="IQ37:IR37"/>
    <mergeCell ref="IM1:IM40"/>
    <mergeCell ref="IG3:IK4"/>
    <mergeCell ref="II16:IJ16"/>
    <mergeCell ref="II17:IJ17"/>
    <mergeCell ref="II21:IJ21"/>
    <mergeCell ref="IA22:IB22"/>
    <mergeCell ref="IA26:IB26"/>
    <mergeCell ref="IA27:IB27"/>
    <mergeCell ref="IA31:IB31"/>
    <mergeCell ref="IA32:IB32"/>
    <mergeCell ref="IA36:IB36"/>
    <mergeCell ref="IA37:IB37"/>
    <mergeCell ref="HW1:HW40"/>
    <mergeCell ref="HQ3:HU4"/>
    <mergeCell ref="HS16:HT16"/>
    <mergeCell ref="HS17:HT17"/>
    <mergeCell ref="HS21:HT21"/>
    <mergeCell ref="HK22:HL22"/>
    <mergeCell ref="HK26:HL26"/>
    <mergeCell ref="HK27:HL27"/>
    <mergeCell ref="HK31:HL31"/>
    <mergeCell ref="HK32:HL32"/>
    <mergeCell ref="HK36:HL36"/>
    <mergeCell ref="HK37:HL37"/>
    <mergeCell ref="HG1:HG40"/>
    <mergeCell ref="HA3:HE4"/>
    <mergeCell ref="HC16:HD16"/>
    <mergeCell ref="HC17:HD17"/>
    <mergeCell ref="HC21:HD21"/>
    <mergeCell ref="GU22:GV22"/>
    <mergeCell ref="GU26:GV26"/>
    <mergeCell ref="GU27:GV27"/>
    <mergeCell ref="GU31:GV31"/>
    <mergeCell ref="GU32:GV32"/>
    <mergeCell ref="GU36:GV36"/>
    <mergeCell ref="GU37:GV37"/>
    <mergeCell ref="CI1:CI40"/>
    <mergeCell ref="CC3:CG4"/>
    <mergeCell ref="BO36:BP36"/>
    <mergeCell ref="BO37:BP37"/>
    <mergeCell ref="BO41:BP41"/>
    <mergeCell ref="CS3:CW4"/>
    <mergeCell ref="CU16:CV16"/>
    <mergeCell ref="CU17:CV17"/>
    <mergeCell ref="BO42:BP42"/>
    <mergeCell ref="BW41:BX41"/>
    <mergeCell ref="BW42:BX42"/>
    <mergeCell ref="CE26:CF26"/>
    <mergeCell ref="CE27:CF27"/>
    <mergeCell ref="CM27:CN27"/>
    <mergeCell ref="CM31:CN31"/>
    <mergeCell ref="CM32:CN32"/>
    <mergeCell ref="CM36:CN36"/>
    <mergeCell ref="CM37:CN37"/>
    <mergeCell ref="CM41:CN41"/>
    <mergeCell ref="CM42:CN42"/>
    <mergeCell ref="CU36:CV36"/>
    <mergeCell ref="CU37:CV37"/>
    <mergeCell ref="CU41:CV41"/>
    <mergeCell ref="CK3:CO4"/>
    <mergeCell ref="CM16:CN16"/>
    <mergeCell ref="CM17:CN17"/>
    <mergeCell ref="DC41:DD41"/>
    <mergeCell ref="EA41:EB41"/>
    <mergeCell ref="DW1:DW40"/>
    <mergeCell ref="DQ3:DU4"/>
    <mergeCell ref="DK17:DL17"/>
    <mergeCell ref="DY3:EC4"/>
    <mergeCell ref="EA16:EB16"/>
    <mergeCell ref="EA17:EB17"/>
    <mergeCell ref="EQ16:ER16"/>
    <mergeCell ref="EQ17:ER17"/>
    <mergeCell ref="EQ22:ER22"/>
    <mergeCell ref="CU42:CV42"/>
    <mergeCell ref="CQ1:CQ40"/>
    <mergeCell ref="DG1:DG40"/>
    <mergeCell ref="DA3:DE4"/>
    <mergeCell ref="EQ21:ER21"/>
    <mergeCell ref="EM1:EM40"/>
    <mergeCell ref="EG3:EK4"/>
    <mergeCell ref="EI16:EJ16"/>
    <mergeCell ref="EI17:EJ17"/>
    <mergeCell ref="EE1:EE40"/>
    <mergeCell ref="EI21:EJ21"/>
    <mergeCell ref="DO1:DO40"/>
    <mergeCell ref="DI3:DM4"/>
    <mergeCell ref="DK16:DL16"/>
    <mergeCell ref="DC31:DD31"/>
    <mergeCell ref="DC32:DD32"/>
    <mergeCell ref="DC36:DD36"/>
    <mergeCell ref="DC37:DD37"/>
    <mergeCell ref="EA26:EB26"/>
    <mergeCell ref="EA27:EB27"/>
    <mergeCell ref="EA31:EB31"/>
    <mergeCell ref="EO3:ES4"/>
    <mergeCell ref="DC21:DD21"/>
    <mergeCell ref="DC22:DD22"/>
    <mergeCell ref="DC26:DD26"/>
    <mergeCell ref="DC27:DD27"/>
    <mergeCell ref="CY1:CY40"/>
    <mergeCell ref="CU21:CV21"/>
    <mergeCell ref="CU22:CV22"/>
    <mergeCell ref="CU26:CV26"/>
    <mergeCell ref="CU27:CV27"/>
    <mergeCell ref="CU31:CV31"/>
    <mergeCell ref="CU32:CV32"/>
    <mergeCell ref="DS16:DT16"/>
    <mergeCell ref="DS17:DT17"/>
    <mergeCell ref="EA21:EB21"/>
    <mergeCell ref="EA22:EB22"/>
    <mergeCell ref="DC16:DD16"/>
    <mergeCell ref="DC17:DD17"/>
    <mergeCell ref="EQ26:ER26"/>
    <mergeCell ref="EQ27:ER27"/>
    <mergeCell ref="EQ31:ER31"/>
    <mergeCell ref="EQ32:ER32"/>
    <mergeCell ref="EQ36:ER36"/>
    <mergeCell ref="EQ37:ER37"/>
    <mergeCell ref="C3:M4"/>
    <mergeCell ref="O1:O40"/>
    <mergeCell ref="Q3:AA4"/>
    <mergeCell ref="AC1:AC40"/>
    <mergeCell ref="CA1:CA40"/>
    <mergeCell ref="BU3:BY4"/>
    <mergeCell ref="BW16:BX16"/>
    <mergeCell ref="BW17:BX17"/>
    <mergeCell ref="BO17:BP17"/>
    <mergeCell ref="BS1:BS40"/>
    <mergeCell ref="BO16:BP16"/>
    <mergeCell ref="BM3:BQ4"/>
    <mergeCell ref="BO21:BP21"/>
    <mergeCell ref="BO22:BP22"/>
    <mergeCell ref="BO26:BP26"/>
    <mergeCell ref="BO27:BP27"/>
    <mergeCell ref="AM8:AY9"/>
    <mergeCell ref="AK4:AY5"/>
    <mergeCell ref="AE3:AF4"/>
    <mergeCell ref="AH1:AH40"/>
    <mergeCell ref="BK1:BK40"/>
    <mergeCell ref="BO31:BP31"/>
    <mergeCell ref="BO32:BP32"/>
    <mergeCell ref="GQ1:GQ40"/>
    <mergeCell ref="GK3:GO4"/>
    <mergeCell ref="GM16:GN16"/>
    <mergeCell ref="GM17:GN17"/>
    <mergeCell ref="GI1:GI40"/>
    <mergeCell ref="GC3:GG4"/>
    <mergeCell ref="GE16:GF16"/>
    <mergeCell ref="GE17:GF17"/>
    <mergeCell ref="GA1:GA40"/>
    <mergeCell ref="GE21:GF21"/>
    <mergeCell ref="GE22:GF22"/>
    <mergeCell ref="GE26:GF26"/>
    <mergeCell ref="GE27:GF27"/>
    <mergeCell ref="GE31:GF31"/>
    <mergeCell ref="GE32:GF32"/>
    <mergeCell ref="GE36:GF36"/>
    <mergeCell ref="GE37:GF37"/>
    <mergeCell ref="GM21:GN21"/>
    <mergeCell ref="FK1:FK40"/>
    <mergeCell ref="FE3:FI4"/>
    <mergeCell ref="FG16:FH16"/>
    <mergeCell ref="FG17:FH17"/>
    <mergeCell ref="EU1:EU40"/>
    <mergeCell ref="FW16:FX16"/>
    <mergeCell ref="FW17:FX17"/>
    <mergeCell ref="FS1:FS40"/>
    <mergeCell ref="FM3:FQ4"/>
    <mergeCell ref="FO16:FP16"/>
    <mergeCell ref="FO17:FP17"/>
    <mergeCell ref="FW21:FX21"/>
    <mergeCell ref="EY16:EZ16"/>
    <mergeCell ref="EY17:EZ17"/>
    <mergeCell ref="FU3:FY4"/>
    <mergeCell ref="FO21:FP21"/>
    <mergeCell ref="FO22:FP22"/>
    <mergeCell ref="FO26:FP26"/>
    <mergeCell ref="FO27:FP27"/>
    <mergeCell ref="FO31:FP31"/>
    <mergeCell ref="FO32:FP32"/>
    <mergeCell ref="FO36:FP36"/>
    <mergeCell ref="FO37:FP37"/>
    <mergeCell ref="AM109:AQ110"/>
    <mergeCell ref="AR109:AV110"/>
    <mergeCell ref="AP34:AT35"/>
    <mergeCell ref="AU34:AY35"/>
    <mergeCell ref="AZ34:BD35"/>
    <mergeCell ref="AM52:AQ53"/>
    <mergeCell ref="AR52:AV53"/>
    <mergeCell ref="AW52:BA53"/>
    <mergeCell ref="AM71:AQ72"/>
    <mergeCell ref="AR71:AV72"/>
    <mergeCell ref="AW71:BA72"/>
    <mergeCell ref="AW90:BA91"/>
    <mergeCell ref="AM90:AQ91"/>
    <mergeCell ref="AR90:AV91"/>
    <mergeCell ref="AW109:BA110"/>
  </mergeCells>
  <phoneticPr fontId="2" type="noConversion"/>
  <dataValidations count="1">
    <dataValidation type="list" allowBlank="1" showInputMessage="1" showErrorMessage="1" sqref="BA54" xr:uid="{5499ABBB-9721-4767-B007-4C0183E6CDB8}">
      <formula1>INDIRECT($AZ$54)</formula1>
    </dataValidation>
  </dataValidations>
  <pageMargins left="0.7" right="0.7" top="0.75" bottom="0.75" header="0.3" footer="0.3"/>
  <pageSetup orientation="portrait" r:id="rId1"/>
  <tableParts count="9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s>
  <extLst>
    <ext xmlns:x14="http://schemas.microsoft.com/office/spreadsheetml/2009/9/main" uri="{78C0D931-6437-407d-A8EE-F0AAD7539E65}">
      <x14:conditionalFormattings>
        <x14:conditionalFormatting xmlns:xm="http://schemas.microsoft.com/office/excel/2006/main">
          <x14:cfRule type="iconSet" priority="1" id="{B52F0F64-AA4C-4784-9D6D-9C16599BDDB5}">
            <x14:iconSet iconSet="3Symbols" showValue="0" custom="1">
              <x14:cfvo type="percent">
                <xm:f>0</xm:f>
              </x14:cfvo>
              <x14:cfvo type="num">
                <xm:f>0</xm:f>
              </x14:cfvo>
              <x14:cfvo type="num">
                <xm:f>1</xm:f>
              </x14:cfvo>
              <x14:cfIcon iconSet="3Symbols" iconId="0"/>
              <x14:cfIcon iconSet="3Symbols" iconId="0"/>
              <x14:cfIcon iconSet="3Symbols" iconId="2"/>
            </x14:iconSet>
          </x14:cfRule>
          <xm:sqref>AF7:AF72</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2BC83-D4EC-439E-ACA8-9C713C28E3E8}">
  <sheetPr codeName="Sheet7">
    <tabColor theme="6" tint="0.59999389629810485"/>
  </sheetPr>
  <dimension ref="A1:BP116"/>
  <sheetViews>
    <sheetView view="pageBreakPreview" topLeftCell="A56" zoomScaleNormal="100" zoomScaleSheetLayoutView="100" workbookViewId="0">
      <selection activeCell="Z75" sqref="Z75:AS75"/>
    </sheetView>
  </sheetViews>
  <sheetFormatPr defaultColWidth="9.1328125" defaultRowHeight="13.15" x14ac:dyDescent="0.4"/>
  <cols>
    <col min="1" max="1" width="2.3984375" style="4" customWidth="1"/>
    <col min="2" max="3" width="2.86328125" style="4" customWidth="1"/>
    <col min="4" max="4" width="6.1328125" style="4" bestFit="1" customWidth="1"/>
    <col min="5" max="5" width="4.265625" style="4" customWidth="1"/>
    <col min="6" max="6" width="4.265625" style="38" customWidth="1"/>
    <col min="7" max="8" width="4.265625" style="4" customWidth="1"/>
    <col min="9" max="12" width="3.265625" style="4" customWidth="1"/>
    <col min="13" max="13" width="2.86328125" style="39" customWidth="1"/>
    <col min="14" max="14" width="7.86328125" style="4" customWidth="1"/>
    <col min="15" max="15" width="5.86328125" style="4" customWidth="1"/>
    <col min="16" max="20" width="5.73046875" style="4" customWidth="1"/>
    <col min="21" max="21" width="6.59765625" style="4" customWidth="1"/>
    <col min="22" max="22" width="6.73046875" style="4" customWidth="1"/>
    <col min="23" max="24" width="5.73046875" style="4" customWidth="1"/>
    <col min="25" max="25" width="2.86328125" style="4" customWidth="1"/>
    <col min="26" max="33" width="2.3984375" style="4" customWidth="1"/>
    <col min="34" max="46" width="2.9296875" style="4" customWidth="1"/>
    <col min="47" max="47" width="9.1328125" style="4"/>
    <col min="48" max="48" width="20.73046875" style="4" hidden="1" customWidth="1"/>
    <col min="49" max="49" width="7.3984375" style="4" hidden="1" customWidth="1"/>
    <col min="50" max="51" width="13.6640625" style="4" hidden="1" customWidth="1"/>
    <col min="52" max="52" width="5" style="4" hidden="1" customWidth="1"/>
    <col min="53" max="53" width="13.06640625" style="4" hidden="1" customWidth="1"/>
    <col min="54" max="54" width="8.06640625" style="4" hidden="1" customWidth="1"/>
    <col min="55" max="55" width="10.73046875" style="4" bestFit="1" customWidth="1"/>
    <col min="56" max="56" width="14.3984375" style="4" bestFit="1" customWidth="1"/>
    <col min="57" max="57" width="16.06640625" style="4" bestFit="1" customWidth="1"/>
    <col min="58" max="58" width="8.3984375" style="4" bestFit="1" customWidth="1"/>
    <col min="59" max="60" width="11.796875" style="4" bestFit="1" customWidth="1"/>
    <col min="61" max="61" width="10.265625" style="4" bestFit="1" customWidth="1"/>
    <col min="62" max="62" width="8.06640625" style="4" bestFit="1" customWidth="1"/>
    <col min="63" max="63" width="10.265625" style="4" bestFit="1" customWidth="1"/>
    <col min="64" max="64" width="11.86328125" style="4" bestFit="1" customWidth="1"/>
    <col min="65" max="65" width="14.1328125" style="4" bestFit="1" customWidth="1"/>
    <col min="66" max="66" width="12.06640625" style="4" bestFit="1" customWidth="1"/>
    <col min="67" max="67" width="10" style="4" bestFit="1" customWidth="1"/>
    <col min="68" max="68" width="4.1328125" style="4" bestFit="1" customWidth="1"/>
    <col min="69" max="16384" width="9.1328125" style="4"/>
  </cols>
  <sheetData>
    <row r="1" spans="1:68" ht="9.9499999999999993" customHeight="1" thickBot="1" x14ac:dyDescent="0.45">
      <c r="A1" s="37"/>
    </row>
    <row r="2" spans="1:68" s="40" customFormat="1" ht="12.75" customHeight="1" x14ac:dyDescent="0.35">
      <c r="B2" s="89"/>
      <c r="C2" s="90"/>
      <c r="D2" s="90"/>
      <c r="E2" s="90"/>
      <c r="F2" s="91"/>
      <c r="G2" s="90"/>
      <c r="H2" s="90"/>
      <c r="I2" s="90"/>
      <c r="J2" s="90"/>
      <c r="K2" s="90"/>
      <c r="L2" s="90"/>
      <c r="M2" s="92"/>
      <c r="N2" s="90"/>
      <c r="O2" s="90"/>
      <c r="P2" s="373" t="s">
        <v>539</v>
      </c>
      <c r="Q2" s="373"/>
      <c r="R2" s="373"/>
      <c r="S2" s="373"/>
      <c r="T2" s="373"/>
      <c r="U2" s="373"/>
      <c r="V2" s="373"/>
      <c r="W2" s="373"/>
      <c r="X2" s="373"/>
      <c r="Y2" s="373"/>
      <c r="Z2" s="391" t="str">
        <f>SUBSTITUTE(SUBSTITUTE(LOWER(AH2)," ","_") &amp; "_","-","")</f>
        <v>mercedez_gle_580_rear_bumper_line_1_</v>
      </c>
      <c r="AA2" s="391"/>
      <c r="AB2" s="391"/>
      <c r="AC2" s="391"/>
      <c r="AD2" s="391"/>
      <c r="AE2" s="391"/>
      <c r="AF2" s="391"/>
      <c r="AG2" s="391"/>
      <c r="AH2" s="373" t="s">
        <v>509</v>
      </c>
      <c r="AI2" s="373"/>
      <c r="AJ2" s="373"/>
      <c r="AK2" s="373"/>
      <c r="AL2" s="373"/>
      <c r="AM2" s="373"/>
      <c r="AN2" s="373"/>
      <c r="AO2" s="373"/>
      <c r="AP2" s="373"/>
      <c r="AQ2" s="373"/>
      <c r="AR2" s="373"/>
      <c r="AS2" s="373"/>
      <c r="AT2" s="374"/>
      <c r="AV2" s="40" t="str" cm="1">
        <f t="array" ref="AV2:AV22">breakdown_analysis[]</f>
        <v>Eletrical_Breakdown</v>
      </c>
      <c r="AW2" s="40">
        <f ca="1">SUMIF($T$14:$V$94,$AV2,$I$14:$J$94) + SUMIF($T$14:$V$94,$AV2,$K$14:$L$94)</f>
        <v>0</v>
      </c>
      <c r="AX2" s="40" t="str">
        <f ca="1">IF(AW2&lt;&gt;0,AV2,"")</f>
        <v/>
      </c>
      <c r="AY2" s="40" t="str" cm="1">
        <f t="array" aca="1" ref="AY2" ca="1">_xlfn._xlws.FILTER(AX2:AX22,AX2:AX22&lt;&gt;"")</f>
        <v>Break</v>
      </c>
      <c r="AZ2" s="40">
        <f ca="1">VLOOKUP(AY2,$AV$2:$AW$22,2,FALSE)</f>
        <v>50</v>
      </c>
      <c r="BA2" s="40" t="str" cm="1">
        <f t="array" aca="1" ref="BA2" ca="1">OFFSET($AY$2,0,0,COUNTA($AY$2:$AY$22),1)</f>
        <v>Break</v>
      </c>
    </row>
    <row r="3" spans="1:68" s="40" customFormat="1" ht="9.9499999999999993" customHeight="1" x14ac:dyDescent="0.3">
      <c r="B3" s="93"/>
      <c r="C3" s="94"/>
      <c r="D3" s="94"/>
      <c r="E3" s="94"/>
      <c r="F3" s="95"/>
      <c r="G3" s="94"/>
      <c r="H3" s="94"/>
      <c r="I3" s="94"/>
      <c r="J3" s="94"/>
      <c r="K3" s="94"/>
      <c r="L3" s="94"/>
      <c r="M3" s="96"/>
      <c r="N3" s="94"/>
      <c r="O3" s="94"/>
      <c r="P3" s="94"/>
      <c r="Q3" s="377" t="s">
        <v>17</v>
      </c>
      <c r="R3" s="377" t="s">
        <v>23</v>
      </c>
      <c r="S3" s="377" t="s">
        <v>154</v>
      </c>
      <c r="T3" s="97"/>
      <c r="U3" s="97"/>
      <c r="V3" s="97"/>
      <c r="W3" s="97"/>
      <c r="X3" s="97"/>
      <c r="Y3" s="97"/>
      <c r="Z3" s="392"/>
      <c r="AA3" s="392"/>
      <c r="AB3" s="392"/>
      <c r="AC3" s="392"/>
      <c r="AD3" s="392"/>
      <c r="AE3" s="392"/>
      <c r="AF3" s="392"/>
      <c r="AG3" s="392"/>
      <c r="AH3" s="375"/>
      <c r="AI3" s="375"/>
      <c r="AJ3" s="375"/>
      <c r="AK3" s="375"/>
      <c r="AL3" s="375"/>
      <c r="AM3" s="375"/>
      <c r="AN3" s="375"/>
      <c r="AO3" s="375"/>
      <c r="AP3" s="375"/>
      <c r="AQ3" s="375"/>
      <c r="AR3" s="375"/>
      <c r="AS3" s="375"/>
      <c r="AT3" s="376"/>
      <c r="AV3" s="40" t="str">
        <v>Mechanical_Breakdown</v>
      </c>
      <c r="AW3" s="40">
        <f t="shared" ref="AW3:AW22" ca="1" si="0">SUMIF($T$14:$V$94,$AV3,$I$14:$J$94) + SUMIF($T$14:$V$94,$AV3,$K$14:$L$94)</f>
        <v>0</v>
      </c>
      <c r="AX3" s="40" t="str">
        <f t="shared" ref="AX3:AX22" ca="1" si="1">IF(AW3&lt;&gt;0,AV3,"")</f>
        <v/>
      </c>
      <c r="AZ3" s="40" t="e">
        <f>VLOOKUP(AY3,$AV$2:$AW$22,2,FALSE)</f>
        <v>#N/A</v>
      </c>
    </row>
    <row r="4" spans="1:68" s="40" customFormat="1" ht="9.9499999999999993" customHeight="1" thickBot="1" x14ac:dyDescent="0.35">
      <c r="B4" s="93"/>
      <c r="C4" s="94"/>
      <c r="D4" s="94"/>
      <c r="E4" s="94"/>
      <c r="F4" s="95"/>
      <c r="G4" s="94"/>
      <c r="H4" s="94"/>
      <c r="I4" s="94"/>
      <c r="J4" s="94"/>
      <c r="K4" s="94"/>
      <c r="L4" s="94"/>
      <c r="M4" s="96"/>
      <c r="N4" s="94"/>
      <c r="O4" s="94"/>
      <c r="P4" s="94"/>
      <c r="Q4" s="378"/>
      <c r="R4" s="378"/>
      <c r="S4" s="378"/>
      <c r="T4" s="98"/>
      <c r="U4" s="99"/>
      <c r="V4" s="99"/>
      <c r="W4" s="99"/>
      <c r="X4" s="99"/>
      <c r="Y4" s="99"/>
      <c r="Z4" s="390" t="str">
        <f>LOWER(SUBSTITUTE(SUBSTITUTE(SUBSTITUTE(SUBSTITUTE(SUBSTITUTE(SUBSTITUTE(SUBSTITUTE(SUBSTITUTE(SUBSTITUTE(SUBSTITUTE(SUBSTITUTE(SUBSTITUTE(SUBSTITUTE(Z5," ","_"),"ã","a"),"â","a"),"á","a"),"à","a"),"ä","a"),"ç","c"),"é","e"),"ê","e"),"í","i"),"ó","o"),"ô","o"),"ú","u"))&amp;"_"&amp;"equipa"</f>
        <v>_equipa</v>
      </c>
      <c r="AA4" s="390"/>
      <c r="AB4" s="390"/>
      <c r="AC4" s="390"/>
      <c r="AD4" s="390"/>
      <c r="AE4" s="390"/>
      <c r="AF4" s="390"/>
      <c r="AG4" s="390"/>
      <c r="AH4" s="98"/>
      <c r="AI4" s="98"/>
      <c r="AJ4" s="98"/>
      <c r="AK4" s="98"/>
      <c r="AL4" s="98"/>
      <c r="AM4" s="98"/>
      <c r="AN4" s="98"/>
      <c r="AO4" s="98"/>
      <c r="AP4" s="98"/>
      <c r="AQ4" s="98"/>
      <c r="AR4" s="98"/>
      <c r="AS4" s="98"/>
      <c r="AT4" s="100"/>
      <c r="AV4" s="40" t="str">
        <v>Welding_Failure</v>
      </c>
      <c r="AW4" s="40">
        <f t="shared" ca="1" si="0"/>
        <v>0</v>
      </c>
      <c r="AX4" s="40" t="str">
        <f t="shared" ca="1" si="1"/>
        <v/>
      </c>
      <c r="AZ4" s="40" t="e">
        <f>VLOOKUP(AY4,$AV$2:$AW$22,2,FALSE)</f>
        <v>#N/A</v>
      </c>
    </row>
    <row r="5" spans="1:68" s="40" customFormat="1" ht="13.5" thickBot="1" x14ac:dyDescent="0.45">
      <c r="B5" s="41"/>
      <c r="C5" s="58"/>
      <c r="D5" s="156" t="s">
        <v>477</v>
      </c>
      <c r="E5" s="402">
        <v>46368</v>
      </c>
      <c r="F5" s="403"/>
      <c r="G5" s="403"/>
      <c r="H5" s="403"/>
      <c r="I5" s="404"/>
      <c r="J5" s="42"/>
      <c r="K5" s="42"/>
      <c r="L5" s="42"/>
      <c r="M5" s="43"/>
      <c r="N5" s="42"/>
      <c r="O5" s="157"/>
      <c r="P5" s="156" t="s">
        <v>503</v>
      </c>
      <c r="Q5" s="50"/>
      <c r="R5" s="51"/>
      <c r="S5" s="52" t="s">
        <v>2</v>
      </c>
      <c r="T5" s="53"/>
      <c r="U5" s="54"/>
      <c r="V5" s="55"/>
      <c r="W5" s="72"/>
      <c r="X5" s="155"/>
      <c r="Y5" s="156" t="s">
        <v>27</v>
      </c>
      <c r="Z5" s="405"/>
      <c r="AA5" s="406"/>
      <c r="AB5" s="406"/>
      <c r="AC5" s="406"/>
      <c r="AD5" s="406"/>
      <c r="AE5" s="406"/>
      <c r="AF5" s="406"/>
      <c r="AG5" s="407"/>
      <c r="AH5" s="46"/>
      <c r="AI5" s="408" t="s">
        <v>478</v>
      </c>
      <c r="AJ5" s="408"/>
      <c r="AK5" s="408"/>
      <c r="AL5" s="409"/>
      <c r="AM5" s="410"/>
      <c r="AN5" s="46"/>
      <c r="AO5" s="46"/>
      <c r="AP5" s="46"/>
      <c r="AQ5" s="46"/>
      <c r="AR5" s="46"/>
      <c r="AS5" s="46"/>
      <c r="AT5" s="48"/>
      <c r="AV5" s="40" t="str">
        <v>Hydraulic_Failure</v>
      </c>
      <c r="AW5" s="40">
        <f t="shared" ca="1" si="0"/>
        <v>0</v>
      </c>
      <c r="AX5" s="40" t="str">
        <f t="shared" ca="1" si="1"/>
        <v/>
      </c>
      <c r="AZ5" s="40" t="e">
        <f>VLOOKUP(AY5,$AV$2:$AW$22,2,FALSE)</f>
        <v>#N/A</v>
      </c>
      <c r="BP5" s="40" t="str">
        <f>IF(BP3&lt;&gt;0,BP2,"")</f>
        <v/>
      </c>
    </row>
    <row r="6" spans="1:68" s="40" customFormat="1" ht="9.9499999999999993" customHeight="1" thickBot="1" x14ac:dyDescent="0.4">
      <c r="B6" s="41"/>
      <c r="C6" s="49"/>
      <c r="D6" s="49"/>
      <c r="E6" s="49"/>
      <c r="F6" s="56"/>
      <c r="G6" s="57"/>
      <c r="H6" s="49"/>
      <c r="I6" s="49"/>
      <c r="J6" s="49"/>
      <c r="K6" s="49"/>
      <c r="L6" s="49"/>
      <c r="M6" s="58"/>
      <c r="N6" s="49"/>
      <c r="O6" s="49"/>
      <c r="P6" s="49"/>
      <c r="Q6" s="49"/>
      <c r="R6" s="49"/>
      <c r="S6" s="49"/>
      <c r="T6" s="49"/>
      <c r="U6" s="49"/>
      <c r="V6" s="49"/>
      <c r="W6" s="49"/>
      <c r="X6" s="49"/>
      <c r="Y6" s="49"/>
      <c r="Z6" s="49"/>
      <c r="AA6" s="49"/>
      <c r="AB6" s="49"/>
      <c r="AC6" s="49"/>
      <c r="AD6" s="49"/>
      <c r="AE6" s="49"/>
      <c r="AF6" s="49"/>
      <c r="AG6" s="49"/>
      <c r="AH6" s="42"/>
      <c r="AI6" s="42"/>
      <c r="AJ6" s="42"/>
      <c r="AK6" s="59"/>
      <c r="AL6" s="55"/>
      <c r="AM6" s="55"/>
      <c r="AN6" s="55"/>
      <c r="AO6" s="55"/>
      <c r="AP6" s="55"/>
      <c r="AQ6" s="55"/>
      <c r="AR6" s="55"/>
      <c r="AS6" s="55"/>
      <c r="AT6" s="48"/>
      <c r="AV6" s="40" t="str">
        <v>Pneumatic_Failure</v>
      </c>
      <c r="AW6" s="40">
        <f t="shared" ca="1" si="0"/>
        <v>0</v>
      </c>
      <c r="AX6" s="40" t="str">
        <f t="shared" ca="1" si="1"/>
        <v/>
      </c>
    </row>
    <row r="7" spans="1:68" s="40" customFormat="1" ht="12.95" customHeight="1" x14ac:dyDescent="0.3">
      <c r="B7" s="60"/>
      <c r="C7" s="420" t="s">
        <v>532</v>
      </c>
      <c r="D7" s="421"/>
      <c r="E7" s="424" t="str">
        <f ca="1">"Goal With"&amp;" "&amp;TEXT(efficiency,"0%")&amp;" Efficiency"</f>
        <v>Goal With 90% Efficiency</v>
      </c>
      <c r="F7" s="425"/>
      <c r="G7" s="424" t="s">
        <v>531</v>
      </c>
      <c r="H7" s="425"/>
      <c r="I7" s="430" t="s">
        <v>18</v>
      </c>
      <c r="J7" s="431"/>
      <c r="K7" s="431"/>
      <c r="L7" s="431"/>
      <c r="M7" s="432"/>
      <c r="N7" s="430" t="s">
        <v>19</v>
      </c>
      <c r="O7" s="431"/>
      <c r="P7" s="431"/>
      <c r="Q7" s="431"/>
      <c r="R7" s="431"/>
      <c r="S7" s="431"/>
      <c r="T7" s="431"/>
      <c r="U7" s="431"/>
      <c r="V7" s="431"/>
      <c r="W7" s="431"/>
      <c r="X7" s="431"/>
      <c r="Y7" s="431"/>
      <c r="Z7" s="431"/>
      <c r="AA7" s="431"/>
      <c r="AB7" s="431"/>
      <c r="AC7" s="431"/>
      <c r="AD7" s="431"/>
      <c r="AE7" s="431"/>
      <c r="AF7" s="431"/>
      <c r="AG7" s="431"/>
      <c r="AH7" s="431"/>
      <c r="AI7" s="431"/>
      <c r="AJ7" s="431"/>
      <c r="AK7" s="431"/>
      <c r="AL7" s="431"/>
      <c r="AM7" s="431"/>
      <c r="AN7" s="431"/>
      <c r="AO7" s="431"/>
      <c r="AP7" s="431"/>
      <c r="AQ7" s="431"/>
      <c r="AR7" s="431"/>
      <c r="AS7" s="433"/>
      <c r="AT7" s="48"/>
      <c r="AV7" s="40" t="str">
        <v>Conveyor_Stoppage</v>
      </c>
      <c r="AW7" s="40">
        <f t="shared" ca="1" si="0"/>
        <v>0</v>
      </c>
      <c r="AX7" s="40" t="str">
        <f t="shared" ca="1" si="1"/>
        <v/>
      </c>
    </row>
    <row r="8" spans="1:68" s="40" customFormat="1" ht="9.9499999999999993" customHeight="1" x14ac:dyDescent="0.3">
      <c r="B8" s="60"/>
      <c r="C8" s="422"/>
      <c r="D8" s="423"/>
      <c r="E8" s="426"/>
      <c r="F8" s="427"/>
      <c r="G8" s="426"/>
      <c r="H8" s="427"/>
      <c r="I8" s="434" t="s">
        <v>533</v>
      </c>
      <c r="J8" s="435"/>
      <c r="K8" s="434" t="s">
        <v>534</v>
      </c>
      <c r="L8" s="435"/>
      <c r="M8" s="436" t="s">
        <v>20</v>
      </c>
      <c r="N8" s="439" t="s">
        <v>530</v>
      </c>
      <c r="O8" s="439"/>
      <c r="P8" s="439"/>
      <c r="Q8" s="440" t="s">
        <v>535</v>
      </c>
      <c r="R8" s="440"/>
      <c r="S8" s="440"/>
      <c r="T8" s="439" t="s">
        <v>536</v>
      </c>
      <c r="U8" s="439"/>
      <c r="V8" s="439"/>
      <c r="W8" s="439" t="s">
        <v>537</v>
      </c>
      <c r="X8" s="439"/>
      <c r="Y8" s="439"/>
      <c r="Z8" s="440" t="s">
        <v>538</v>
      </c>
      <c r="AA8" s="440"/>
      <c r="AB8" s="440"/>
      <c r="AC8" s="440"/>
      <c r="AD8" s="440"/>
      <c r="AE8" s="440"/>
      <c r="AF8" s="440"/>
      <c r="AG8" s="440"/>
      <c r="AH8" s="440"/>
      <c r="AI8" s="440"/>
      <c r="AJ8" s="440"/>
      <c r="AK8" s="440"/>
      <c r="AL8" s="440"/>
      <c r="AM8" s="440"/>
      <c r="AN8" s="440"/>
      <c r="AO8" s="440"/>
      <c r="AP8" s="440"/>
      <c r="AQ8" s="440"/>
      <c r="AR8" s="440"/>
      <c r="AS8" s="445"/>
      <c r="AT8" s="48"/>
      <c r="AV8" s="40" t="str">
        <v>Robot_Fault</v>
      </c>
      <c r="AW8" s="40">
        <f t="shared" ca="1" si="0"/>
        <v>0</v>
      </c>
      <c r="AX8" s="40" t="str">
        <f t="shared" ca="1" si="1"/>
        <v/>
      </c>
    </row>
    <row r="9" spans="1:68" s="40" customFormat="1" ht="9.9499999999999993" customHeight="1" x14ac:dyDescent="0.3">
      <c r="B9" s="60"/>
      <c r="C9" s="422"/>
      <c r="D9" s="423"/>
      <c r="E9" s="426"/>
      <c r="F9" s="427"/>
      <c r="G9" s="426"/>
      <c r="H9" s="427"/>
      <c r="I9" s="426"/>
      <c r="J9" s="427"/>
      <c r="K9" s="426"/>
      <c r="L9" s="427"/>
      <c r="M9" s="437"/>
      <c r="N9" s="439"/>
      <c r="O9" s="439"/>
      <c r="P9" s="439"/>
      <c r="Q9" s="440"/>
      <c r="R9" s="440"/>
      <c r="S9" s="440"/>
      <c r="T9" s="439"/>
      <c r="U9" s="439"/>
      <c r="V9" s="439"/>
      <c r="W9" s="439"/>
      <c r="X9" s="439"/>
      <c r="Y9" s="439"/>
      <c r="Z9" s="440"/>
      <c r="AA9" s="440"/>
      <c r="AB9" s="440"/>
      <c r="AC9" s="440"/>
      <c r="AD9" s="440"/>
      <c r="AE9" s="440"/>
      <c r="AF9" s="440"/>
      <c r="AG9" s="440"/>
      <c r="AH9" s="440"/>
      <c r="AI9" s="440"/>
      <c r="AJ9" s="440"/>
      <c r="AK9" s="440"/>
      <c r="AL9" s="440"/>
      <c r="AM9" s="440"/>
      <c r="AN9" s="440"/>
      <c r="AO9" s="440"/>
      <c r="AP9" s="440"/>
      <c r="AQ9" s="440"/>
      <c r="AR9" s="440"/>
      <c r="AS9" s="445"/>
      <c r="AT9" s="48"/>
      <c r="AV9" s="40" t="str">
        <v>Tooling_Change</v>
      </c>
      <c r="AW9" s="40">
        <f t="shared" ca="1" si="0"/>
        <v>0</v>
      </c>
      <c r="AX9" s="40" t="str">
        <f t="shared" ca="1" si="1"/>
        <v/>
      </c>
    </row>
    <row r="10" spans="1:68" s="40" customFormat="1" ht="9.9499999999999993" customHeight="1" x14ac:dyDescent="0.3">
      <c r="B10" s="60"/>
      <c r="C10" s="422"/>
      <c r="D10" s="423"/>
      <c r="E10" s="426"/>
      <c r="F10" s="427"/>
      <c r="G10" s="426"/>
      <c r="H10" s="427"/>
      <c r="I10" s="426"/>
      <c r="J10" s="427"/>
      <c r="K10" s="426"/>
      <c r="L10" s="427"/>
      <c r="M10" s="437"/>
      <c r="N10" s="439"/>
      <c r="O10" s="439"/>
      <c r="P10" s="439"/>
      <c r="Q10" s="440"/>
      <c r="R10" s="440"/>
      <c r="S10" s="440"/>
      <c r="T10" s="439"/>
      <c r="U10" s="439"/>
      <c r="V10" s="439"/>
      <c r="W10" s="439"/>
      <c r="X10" s="439"/>
      <c r="Y10" s="439"/>
      <c r="Z10" s="440"/>
      <c r="AA10" s="440"/>
      <c r="AB10" s="440"/>
      <c r="AC10" s="440"/>
      <c r="AD10" s="440"/>
      <c r="AE10" s="440"/>
      <c r="AF10" s="440"/>
      <c r="AG10" s="440"/>
      <c r="AH10" s="440"/>
      <c r="AI10" s="440"/>
      <c r="AJ10" s="440"/>
      <c r="AK10" s="440"/>
      <c r="AL10" s="440"/>
      <c r="AM10" s="440"/>
      <c r="AN10" s="440"/>
      <c r="AO10" s="440"/>
      <c r="AP10" s="440"/>
      <c r="AQ10" s="440"/>
      <c r="AR10" s="440"/>
      <c r="AS10" s="445"/>
      <c r="AT10" s="48"/>
      <c r="AV10" s="40" t="str">
        <v>Planned_Maintenance</v>
      </c>
      <c r="AW10" s="40">
        <f t="shared" ca="1" si="0"/>
        <v>0</v>
      </c>
      <c r="AX10" s="40" t="str">
        <f t="shared" ca="1" si="1"/>
        <v/>
      </c>
    </row>
    <row r="11" spans="1:68" s="40" customFormat="1" ht="9.9499999999999993" customHeight="1" x14ac:dyDescent="0.3">
      <c r="B11" s="60"/>
      <c r="C11" s="422"/>
      <c r="D11" s="423"/>
      <c r="E11" s="428"/>
      <c r="F11" s="429"/>
      <c r="G11" s="426"/>
      <c r="H11" s="427"/>
      <c r="I11" s="426"/>
      <c r="J11" s="427"/>
      <c r="K11" s="426"/>
      <c r="L11" s="427"/>
      <c r="M11" s="437"/>
      <c r="N11" s="439"/>
      <c r="O11" s="439"/>
      <c r="P11" s="439"/>
      <c r="Q11" s="440"/>
      <c r="R11" s="440"/>
      <c r="S11" s="440"/>
      <c r="T11" s="439"/>
      <c r="U11" s="439"/>
      <c r="V11" s="439"/>
      <c r="W11" s="439"/>
      <c r="X11" s="439"/>
      <c r="Y11" s="439"/>
      <c r="Z11" s="440"/>
      <c r="AA11" s="440"/>
      <c r="AB11" s="440"/>
      <c r="AC11" s="440"/>
      <c r="AD11" s="440"/>
      <c r="AE11" s="440"/>
      <c r="AF11" s="440"/>
      <c r="AG11" s="440"/>
      <c r="AH11" s="440"/>
      <c r="AI11" s="440"/>
      <c r="AJ11" s="440"/>
      <c r="AK11" s="440"/>
      <c r="AL11" s="440"/>
      <c r="AM11" s="440"/>
      <c r="AN11" s="440"/>
      <c r="AO11" s="440"/>
      <c r="AP11" s="440"/>
      <c r="AQ11" s="440"/>
      <c r="AR11" s="440"/>
      <c r="AS11" s="445"/>
      <c r="AT11" s="48"/>
      <c r="AV11" s="40" t="str">
        <v>Unplanned_Maintenance</v>
      </c>
      <c r="AW11" s="40">
        <f t="shared" ca="1" si="0"/>
        <v>0</v>
      </c>
      <c r="AX11" s="40" t="str">
        <f t="shared" ca="1" si="1"/>
        <v/>
      </c>
    </row>
    <row r="12" spans="1:68" s="40" customFormat="1" ht="9.9499999999999993" customHeight="1" x14ac:dyDescent="0.3">
      <c r="B12" s="60"/>
      <c r="C12" s="422"/>
      <c r="D12" s="423"/>
      <c r="E12" s="441" t="s">
        <v>23</v>
      </c>
      <c r="F12" s="442"/>
      <c r="G12" s="441"/>
      <c r="H12" s="442"/>
      <c r="I12" s="426"/>
      <c r="J12" s="427"/>
      <c r="K12" s="426"/>
      <c r="L12" s="427"/>
      <c r="M12" s="437"/>
      <c r="N12" s="439"/>
      <c r="O12" s="439"/>
      <c r="P12" s="439"/>
      <c r="Q12" s="440"/>
      <c r="R12" s="440"/>
      <c r="S12" s="440"/>
      <c r="T12" s="439"/>
      <c r="U12" s="439"/>
      <c r="V12" s="439"/>
      <c r="W12" s="439"/>
      <c r="X12" s="439"/>
      <c r="Y12" s="439"/>
      <c r="Z12" s="440"/>
      <c r="AA12" s="440"/>
      <c r="AB12" s="440"/>
      <c r="AC12" s="440"/>
      <c r="AD12" s="440"/>
      <c r="AE12" s="440"/>
      <c r="AF12" s="440"/>
      <c r="AG12" s="440"/>
      <c r="AH12" s="440"/>
      <c r="AI12" s="440"/>
      <c r="AJ12" s="440"/>
      <c r="AK12" s="440"/>
      <c r="AL12" s="440"/>
      <c r="AM12" s="440"/>
      <c r="AN12" s="440"/>
      <c r="AO12" s="440"/>
      <c r="AP12" s="440"/>
      <c r="AQ12" s="440"/>
      <c r="AR12" s="440"/>
      <c r="AS12" s="445"/>
      <c r="AT12" s="48"/>
      <c r="AV12" s="40" t="str">
        <v>Quality_Hold</v>
      </c>
      <c r="AW12" s="40">
        <f ca="1">SUMIF($T$14:$V$94,$AV12,$I$14:$J$94) + SUMIF($T$14:$V$94,$AV12,$K$14:$L$94)</f>
        <v>0</v>
      </c>
      <c r="AX12" s="40" t="str">
        <f ca="1">IF(AW12&lt;&gt;0,AV12,"")</f>
        <v/>
      </c>
      <c r="AZ12" s="154"/>
      <c r="BA12" s="154"/>
      <c r="BB12" s="154"/>
    </row>
    <row r="13" spans="1:68" s="40" customFormat="1" ht="9.9499999999999993" customHeight="1" x14ac:dyDescent="0.3">
      <c r="B13" s="60"/>
      <c r="C13" s="422"/>
      <c r="D13" s="423"/>
      <c r="E13" s="443"/>
      <c r="F13" s="444"/>
      <c r="G13" s="443"/>
      <c r="H13" s="444"/>
      <c r="I13" s="426"/>
      <c r="J13" s="427"/>
      <c r="K13" s="426"/>
      <c r="L13" s="427"/>
      <c r="M13" s="438"/>
      <c r="N13" s="439"/>
      <c r="O13" s="439"/>
      <c r="P13" s="439"/>
      <c r="Q13" s="440"/>
      <c r="R13" s="440"/>
      <c r="S13" s="440"/>
      <c r="T13" s="439"/>
      <c r="U13" s="439"/>
      <c r="V13" s="439"/>
      <c r="W13" s="439"/>
      <c r="X13" s="439"/>
      <c r="Y13" s="439"/>
      <c r="Z13" s="440"/>
      <c r="AA13" s="440"/>
      <c r="AB13" s="440"/>
      <c r="AC13" s="440"/>
      <c r="AD13" s="440"/>
      <c r="AE13" s="440"/>
      <c r="AF13" s="440"/>
      <c r="AG13" s="440"/>
      <c r="AH13" s="440"/>
      <c r="AI13" s="440"/>
      <c r="AJ13" s="440"/>
      <c r="AK13" s="440"/>
      <c r="AL13" s="440"/>
      <c r="AM13" s="440"/>
      <c r="AN13" s="440"/>
      <c r="AO13" s="440"/>
      <c r="AP13" s="440"/>
      <c r="AQ13" s="440"/>
      <c r="AR13" s="440"/>
      <c r="AS13" s="445"/>
      <c r="AT13" s="48"/>
      <c r="AV13" s="40" t="str">
        <v>Rework_Stoppage</v>
      </c>
      <c r="AW13" s="40">
        <f t="shared" ca="1" si="0"/>
        <v>0</v>
      </c>
      <c r="AX13" s="40" t="str">
        <f t="shared" ca="1" si="1"/>
        <v/>
      </c>
    </row>
    <row r="14" spans="1:68" s="40" customFormat="1" ht="9.9499999999999993" customHeight="1" x14ac:dyDescent="0.3">
      <c r="B14" s="60"/>
      <c r="C14" s="446">
        <f>IF($Q$5="X", IF(WEEKDAY($E$5)=2, TIME(0, 0, 0), TIME(23, 50, 0)), IF($R$5="X", TIME(7, 10, 0), IF($S$5="X", TIME(15, 30, 0), "")))</f>
        <v>0.64583333333333337</v>
      </c>
      <c r="D14" s="447"/>
      <c r="E14" s="397">
        <f ca="1">IFERROR(
  _xlfn.LET(
    _xlpm.time_diff,
    MOD(C18 - C14, 1),
    _xlpm.minutes,
    MINUTE(_xlpm.time_diff),
    _xlpm.pausas,
    SUMIF($T$14:$V$22, "Pausa", $K$14:$L$22),
    _xlpm.efficiency,
    (1 - _xlpm.pausas / IF(_xlpm.minutes = 0, 60, _xlpm.minutes)),
    _xlpm.result,
    IF(
       _xlpm.minutes = 0,
       ROUND(60 * 60 / cycle_time_welding * _xlpm.efficiency, 0),
       ROUND(_xlpm.minutes * 60 / cycle_time_welding * _xlpm.efficiency, 0)
      ),
    _xlpm.result
  ),
0)</f>
        <v>6</v>
      </c>
      <c r="F14" s="398"/>
      <c r="G14" s="413"/>
      <c r="H14" s="414"/>
      <c r="I14" s="419"/>
      <c r="J14" s="419"/>
      <c r="K14" s="419"/>
      <c r="L14" s="419"/>
      <c r="M14" s="62" t="str">
        <f>IF(K14+I14=0,"",K14+I14)</f>
        <v/>
      </c>
      <c r="N14" s="387"/>
      <c r="O14" s="388"/>
      <c r="P14" s="389"/>
      <c r="Q14" s="387"/>
      <c r="R14" s="388"/>
      <c r="S14" s="388"/>
      <c r="T14" s="387"/>
      <c r="U14" s="388"/>
      <c r="V14" s="389"/>
      <c r="W14" s="387"/>
      <c r="X14" s="388"/>
      <c r="Y14" s="388"/>
      <c r="Z14" s="387"/>
      <c r="AA14" s="388"/>
      <c r="AB14" s="388"/>
      <c r="AC14" s="388"/>
      <c r="AD14" s="388"/>
      <c r="AE14" s="388"/>
      <c r="AF14" s="388"/>
      <c r="AG14" s="388"/>
      <c r="AH14" s="388"/>
      <c r="AI14" s="388"/>
      <c r="AJ14" s="388"/>
      <c r="AK14" s="388"/>
      <c r="AL14" s="388"/>
      <c r="AM14" s="388"/>
      <c r="AN14" s="388"/>
      <c r="AO14" s="388"/>
      <c r="AP14" s="388"/>
      <c r="AQ14" s="388"/>
      <c r="AR14" s="388"/>
      <c r="AS14" s="452"/>
      <c r="AT14" s="48"/>
      <c r="AV14" s="40" t="str">
        <v>Material_Shortage</v>
      </c>
      <c r="AW14" s="40">
        <f t="shared" ca="1" si="0"/>
        <v>0</v>
      </c>
      <c r="AX14" s="40" t="str">
        <f t="shared" ca="1" si="1"/>
        <v/>
      </c>
    </row>
    <row r="15" spans="1:68" s="40" customFormat="1" ht="9.9499999999999993" customHeight="1" x14ac:dyDescent="0.3">
      <c r="B15" s="63"/>
      <c r="C15" s="448"/>
      <c r="D15" s="449"/>
      <c r="E15" s="411"/>
      <c r="F15" s="412"/>
      <c r="G15" s="415"/>
      <c r="H15" s="416"/>
      <c r="I15" s="401"/>
      <c r="J15" s="401"/>
      <c r="K15" s="401"/>
      <c r="L15" s="401"/>
      <c r="M15" s="62" t="str">
        <f t="shared" ref="M15:M77" si="2">IF(K15+I15=0,"",K15+I15)</f>
        <v/>
      </c>
      <c r="N15" s="379"/>
      <c r="O15" s="380"/>
      <c r="P15" s="386"/>
      <c r="Q15" s="379"/>
      <c r="R15" s="380"/>
      <c r="S15" s="380"/>
      <c r="T15" s="379"/>
      <c r="U15" s="380"/>
      <c r="V15" s="386"/>
      <c r="W15" s="379"/>
      <c r="X15" s="380"/>
      <c r="Y15" s="380"/>
      <c r="Z15" s="379"/>
      <c r="AA15" s="380"/>
      <c r="AB15" s="380"/>
      <c r="AC15" s="380"/>
      <c r="AD15" s="380"/>
      <c r="AE15" s="380"/>
      <c r="AF15" s="380"/>
      <c r="AG15" s="380"/>
      <c r="AH15" s="380"/>
      <c r="AI15" s="380"/>
      <c r="AJ15" s="380"/>
      <c r="AK15" s="380"/>
      <c r="AL15" s="380"/>
      <c r="AM15" s="380"/>
      <c r="AN15" s="380"/>
      <c r="AO15" s="380"/>
      <c r="AP15" s="380"/>
      <c r="AQ15" s="380"/>
      <c r="AR15" s="380"/>
      <c r="AS15" s="381"/>
      <c r="AT15" s="48"/>
      <c r="AV15" s="40" t="str">
        <v>Material_Defect</v>
      </c>
      <c r="AW15" s="40">
        <f t="shared" ca="1" si="0"/>
        <v>0</v>
      </c>
      <c r="AX15" s="40" t="str">
        <f t="shared" ca="1" si="1"/>
        <v/>
      </c>
    </row>
    <row r="16" spans="1:68" s="40" customFormat="1" ht="11.25" customHeight="1" x14ac:dyDescent="0.3">
      <c r="B16" s="63"/>
      <c r="C16" s="448"/>
      <c r="D16" s="449"/>
      <c r="E16" s="411"/>
      <c r="F16" s="412"/>
      <c r="G16" s="415"/>
      <c r="H16" s="416"/>
      <c r="I16" s="401"/>
      <c r="J16" s="401"/>
      <c r="K16" s="401"/>
      <c r="L16" s="401"/>
      <c r="M16" s="62" t="str">
        <f t="shared" si="2"/>
        <v/>
      </c>
      <c r="N16" s="379"/>
      <c r="O16" s="380"/>
      <c r="P16" s="386"/>
      <c r="Q16" s="379"/>
      <c r="R16" s="380"/>
      <c r="S16" s="380"/>
      <c r="T16" s="379"/>
      <c r="U16" s="380"/>
      <c r="V16" s="386"/>
      <c r="W16" s="379"/>
      <c r="X16" s="380"/>
      <c r="Y16" s="380"/>
      <c r="Z16" s="379"/>
      <c r="AA16" s="380"/>
      <c r="AB16" s="380"/>
      <c r="AC16" s="380"/>
      <c r="AD16" s="380"/>
      <c r="AE16" s="380"/>
      <c r="AF16" s="380"/>
      <c r="AG16" s="380"/>
      <c r="AH16" s="380"/>
      <c r="AI16" s="380"/>
      <c r="AJ16" s="380"/>
      <c r="AK16" s="380"/>
      <c r="AL16" s="380"/>
      <c r="AM16" s="380"/>
      <c r="AN16" s="380"/>
      <c r="AO16" s="380"/>
      <c r="AP16" s="380"/>
      <c r="AQ16" s="380"/>
      <c r="AR16" s="380"/>
      <c r="AS16" s="381"/>
      <c r="AT16" s="48"/>
      <c r="AV16" s="61" t="str">
        <v>Changeover</v>
      </c>
      <c r="AW16" s="40">
        <f t="shared" ca="1" si="0"/>
        <v>0</v>
      </c>
      <c r="AX16" s="40" t="str">
        <f t="shared" ca="1" si="1"/>
        <v/>
      </c>
      <c r="AZ16" s="61"/>
    </row>
    <row r="17" spans="2:52" s="40" customFormat="1" ht="9.9499999999999993" customHeight="1" x14ac:dyDescent="0.3">
      <c r="B17" s="63"/>
      <c r="C17" s="448"/>
      <c r="D17" s="449"/>
      <c r="E17" s="411"/>
      <c r="F17" s="412"/>
      <c r="G17" s="415"/>
      <c r="H17" s="416"/>
      <c r="I17" s="401"/>
      <c r="J17" s="401"/>
      <c r="K17" s="401"/>
      <c r="L17" s="401"/>
      <c r="M17" s="62" t="str">
        <f t="shared" si="2"/>
        <v/>
      </c>
      <c r="N17" s="379"/>
      <c r="O17" s="380"/>
      <c r="P17" s="386"/>
      <c r="Q17" s="379"/>
      <c r="R17" s="380"/>
      <c r="S17" s="380"/>
      <c r="T17" s="379"/>
      <c r="U17" s="380"/>
      <c r="V17" s="386"/>
      <c r="W17" s="379"/>
      <c r="X17" s="380"/>
      <c r="Y17" s="380"/>
      <c r="Z17" s="379"/>
      <c r="AA17" s="380"/>
      <c r="AB17" s="380"/>
      <c r="AC17" s="380"/>
      <c r="AD17" s="380"/>
      <c r="AE17" s="380"/>
      <c r="AF17" s="380"/>
      <c r="AG17" s="380"/>
      <c r="AH17" s="380"/>
      <c r="AI17" s="380"/>
      <c r="AJ17" s="380"/>
      <c r="AK17" s="380"/>
      <c r="AL17" s="380"/>
      <c r="AM17" s="380"/>
      <c r="AN17" s="380"/>
      <c r="AO17" s="380"/>
      <c r="AP17" s="380"/>
      <c r="AQ17" s="380"/>
      <c r="AR17" s="380"/>
      <c r="AS17" s="381"/>
      <c r="AT17" s="48"/>
      <c r="AV17" s="40" t="str">
        <v>Logistics_Delay</v>
      </c>
      <c r="AW17" s="40">
        <f t="shared" ca="1" si="0"/>
        <v>0</v>
      </c>
      <c r="AX17" s="40" t="str">
        <f t="shared" ca="1" si="1"/>
        <v/>
      </c>
    </row>
    <row r="18" spans="2:52" s="40" customFormat="1" ht="9.9499999999999993" customHeight="1" x14ac:dyDescent="0.3">
      <c r="B18" s="63"/>
      <c r="C18" s="448">
        <f>IFERROR(TIME(HOUR(C14) + 1, 0, 0), "")</f>
        <v>0.66666666666666663</v>
      </c>
      <c r="D18" s="449"/>
      <c r="E18" s="411"/>
      <c r="F18" s="412"/>
      <c r="G18" s="415"/>
      <c r="H18" s="416"/>
      <c r="I18" s="401"/>
      <c r="J18" s="401"/>
      <c r="K18" s="401"/>
      <c r="L18" s="401"/>
      <c r="M18" s="62" t="str">
        <f>IF(K18+I18=0,"",K18+I18)</f>
        <v/>
      </c>
      <c r="N18" s="379"/>
      <c r="O18" s="380"/>
      <c r="P18" s="386"/>
      <c r="Q18" s="379"/>
      <c r="R18" s="380"/>
      <c r="S18" s="380"/>
      <c r="T18" s="379"/>
      <c r="U18" s="380"/>
      <c r="V18" s="386"/>
      <c r="W18" s="379"/>
      <c r="X18" s="380"/>
      <c r="Y18" s="380"/>
      <c r="Z18" s="379"/>
      <c r="AA18" s="380"/>
      <c r="AB18" s="380"/>
      <c r="AC18" s="380"/>
      <c r="AD18" s="380"/>
      <c r="AE18" s="380"/>
      <c r="AF18" s="380"/>
      <c r="AG18" s="380"/>
      <c r="AH18" s="380"/>
      <c r="AI18" s="380"/>
      <c r="AJ18" s="380"/>
      <c r="AK18" s="380"/>
      <c r="AL18" s="380"/>
      <c r="AM18" s="380"/>
      <c r="AN18" s="380"/>
      <c r="AO18" s="380"/>
      <c r="AP18" s="380"/>
      <c r="AQ18" s="380"/>
      <c r="AR18" s="380"/>
      <c r="AS18" s="381"/>
      <c r="AT18" s="48"/>
      <c r="AV18" s="40" t="str">
        <v>IT_System_Failure</v>
      </c>
      <c r="AW18" s="40">
        <f t="shared" ca="1" si="0"/>
        <v>0</v>
      </c>
      <c r="AX18" s="40" t="str">
        <f t="shared" ca="1" si="1"/>
        <v/>
      </c>
      <c r="AZ18" s="61"/>
    </row>
    <row r="19" spans="2:52" s="40" customFormat="1" ht="9.9499999999999993" customHeight="1" x14ac:dyDescent="0.3">
      <c r="B19" s="63"/>
      <c r="C19" s="448"/>
      <c r="D19" s="449"/>
      <c r="E19" s="411"/>
      <c r="F19" s="412"/>
      <c r="G19" s="415"/>
      <c r="H19" s="416"/>
      <c r="I19" s="401"/>
      <c r="J19" s="401"/>
      <c r="K19" s="401"/>
      <c r="L19" s="401"/>
      <c r="M19" s="62" t="str">
        <f t="shared" si="2"/>
        <v/>
      </c>
      <c r="N19" s="379"/>
      <c r="O19" s="380"/>
      <c r="P19" s="386"/>
      <c r="Q19" s="379"/>
      <c r="R19" s="380"/>
      <c r="S19" s="380"/>
      <c r="T19" s="379"/>
      <c r="U19" s="380"/>
      <c r="V19" s="386"/>
      <c r="W19" s="379"/>
      <c r="X19" s="380"/>
      <c r="Y19" s="380"/>
      <c r="Z19" s="379"/>
      <c r="AA19" s="380"/>
      <c r="AB19" s="380"/>
      <c r="AC19" s="380"/>
      <c r="AD19" s="380"/>
      <c r="AE19" s="380"/>
      <c r="AF19" s="380"/>
      <c r="AG19" s="380"/>
      <c r="AH19" s="380"/>
      <c r="AI19" s="380"/>
      <c r="AJ19" s="380"/>
      <c r="AK19" s="380"/>
      <c r="AL19" s="380"/>
      <c r="AM19" s="380"/>
      <c r="AN19" s="380"/>
      <c r="AO19" s="380"/>
      <c r="AP19" s="380"/>
      <c r="AQ19" s="380"/>
      <c r="AR19" s="380"/>
      <c r="AS19" s="381"/>
      <c r="AT19" s="48"/>
      <c r="AV19" s="64" t="str">
        <v>Accident_Safety_Stop</v>
      </c>
      <c r="AW19" s="40">
        <f t="shared" ca="1" si="0"/>
        <v>0</v>
      </c>
      <c r="AX19" s="40" t="str">
        <f t="shared" ca="1" si="1"/>
        <v/>
      </c>
      <c r="AZ19" s="61"/>
    </row>
    <row r="20" spans="2:52" s="40" customFormat="1" ht="9.9499999999999993" customHeight="1" x14ac:dyDescent="0.3">
      <c r="B20" s="63"/>
      <c r="C20" s="448"/>
      <c r="D20" s="449"/>
      <c r="E20" s="399"/>
      <c r="F20" s="400"/>
      <c r="G20" s="417"/>
      <c r="H20" s="418"/>
      <c r="I20" s="401"/>
      <c r="J20" s="401"/>
      <c r="K20" s="401"/>
      <c r="L20" s="401"/>
      <c r="M20" s="62" t="str">
        <f t="shared" si="2"/>
        <v/>
      </c>
      <c r="N20" s="379"/>
      <c r="O20" s="380"/>
      <c r="P20" s="386"/>
      <c r="Q20" s="379"/>
      <c r="R20" s="380"/>
      <c r="S20" s="380"/>
      <c r="T20" s="379"/>
      <c r="U20" s="380"/>
      <c r="V20" s="386"/>
      <c r="W20" s="379"/>
      <c r="X20" s="380"/>
      <c r="Y20" s="380"/>
      <c r="Z20" s="379"/>
      <c r="AA20" s="380"/>
      <c r="AB20" s="380"/>
      <c r="AC20" s="380"/>
      <c r="AD20" s="380"/>
      <c r="AE20" s="380"/>
      <c r="AF20" s="380"/>
      <c r="AG20" s="380"/>
      <c r="AH20" s="380"/>
      <c r="AI20" s="380"/>
      <c r="AJ20" s="380"/>
      <c r="AK20" s="380"/>
      <c r="AL20" s="380"/>
      <c r="AM20" s="380"/>
      <c r="AN20" s="380"/>
      <c r="AO20" s="380"/>
      <c r="AP20" s="380"/>
      <c r="AQ20" s="380"/>
      <c r="AR20" s="380"/>
      <c r="AS20" s="381"/>
      <c r="AT20" s="48"/>
      <c r="AV20" s="40" t="str">
        <v>Operator_Absence</v>
      </c>
      <c r="AW20" s="40">
        <f t="shared" ca="1" si="0"/>
        <v>0</v>
      </c>
      <c r="AX20" s="40" t="str">
        <f t="shared" ca="1" si="1"/>
        <v/>
      </c>
    </row>
    <row r="21" spans="2:52" s="40" customFormat="1" ht="9.9499999999999993" customHeight="1" x14ac:dyDescent="0.3">
      <c r="B21" s="63"/>
      <c r="C21" s="448"/>
      <c r="D21" s="449"/>
      <c r="E21" s="393">
        <f ca="1">IFERROR(E14, "")</f>
        <v>6</v>
      </c>
      <c r="F21" s="394"/>
      <c r="G21" s="397">
        <f>G14</f>
        <v>0</v>
      </c>
      <c r="H21" s="398"/>
      <c r="I21" s="401"/>
      <c r="J21" s="401"/>
      <c r="K21" s="401"/>
      <c r="L21" s="401"/>
      <c r="M21" s="62" t="str">
        <f t="shared" si="2"/>
        <v/>
      </c>
      <c r="N21" s="379"/>
      <c r="O21" s="380"/>
      <c r="P21" s="386"/>
      <c r="Q21" s="379"/>
      <c r="R21" s="380"/>
      <c r="S21" s="380"/>
      <c r="T21" s="379"/>
      <c r="U21" s="380"/>
      <c r="V21" s="386"/>
      <c r="W21" s="379"/>
      <c r="X21" s="380"/>
      <c r="Y21" s="380"/>
      <c r="Z21" s="379"/>
      <c r="AA21" s="380"/>
      <c r="AB21" s="380"/>
      <c r="AC21" s="380"/>
      <c r="AD21" s="380"/>
      <c r="AE21" s="380"/>
      <c r="AF21" s="380"/>
      <c r="AG21" s="380"/>
      <c r="AH21" s="380"/>
      <c r="AI21" s="380"/>
      <c r="AJ21" s="380"/>
      <c r="AK21" s="380"/>
      <c r="AL21" s="380"/>
      <c r="AM21" s="380"/>
      <c r="AN21" s="380"/>
      <c r="AO21" s="380"/>
      <c r="AP21" s="380"/>
      <c r="AQ21" s="380"/>
      <c r="AR21" s="380"/>
      <c r="AS21" s="381"/>
      <c r="AT21" s="48"/>
      <c r="AV21" s="40" t="str">
        <v>No_Production</v>
      </c>
      <c r="AW21" s="40">
        <f t="shared" ca="1" si="0"/>
        <v>0</v>
      </c>
      <c r="AX21" s="40" t="str">
        <f t="shared" ca="1" si="1"/>
        <v/>
      </c>
    </row>
    <row r="22" spans="2:52" s="40" customFormat="1" ht="9.9499999999999993" customHeight="1" x14ac:dyDescent="0.3">
      <c r="B22" s="63"/>
      <c r="C22" s="450"/>
      <c r="D22" s="451"/>
      <c r="E22" s="395"/>
      <c r="F22" s="396"/>
      <c r="G22" s="399"/>
      <c r="H22" s="400"/>
      <c r="I22" s="401"/>
      <c r="J22" s="401"/>
      <c r="K22" s="401"/>
      <c r="L22" s="401"/>
      <c r="M22" s="65" t="str">
        <f t="shared" si="2"/>
        <v/>
      </c>
      <c r="N22" s="382"/>
      <c r="O22" s="383"/>
      <c r="P22" s="384"/>
      <c r="Q22" s="382"/>
      <c r="R22" s="383"/>
      <c r="S22" s="383"/>
      <c r="T22" s="382"/>
      <c r="U22" s="383"/>
      <c r="V22" s="384"/>
      <c r="W22" s="382"/>
      <c r="X22" s="383"/>
      <c r="Y22" s="383"/>
      <c r="Z22" s="382"/>
      <c r="AA22" s="383"/>
      <c r="AB22" s="383"/>
      <c r="AC22" s="383"/>
      <c r="AD22" s="383"/>
      <c r="AE22" s="383"/>
      <c r="AF22" s="383"/>
      <c r="AG22" s="383"/>
      <c r="AH22" s="383"/>
      <c r="AI22" s="383"/>
      <c r="AJ22" s="383"/>
      <c r="AK22" s="383"/>
      <c r="AL22" s="383"/>
      <c r="AM22" s="383"/>
      <c r="AN22" s="383"/>
      <c r="AO22" s="383"/>
      <c r="AP22" s="383"/>
      <c r="AQ22" s="383"/>
      <c r="AR22" s="383"/>
      <c r="AS22" s="385"/>
      <c r="AT22" s="48"/>
      <c r="AV22" s="40" t="str">
        <v>Break</v>
      </c>
      <c r="AW22" s="40">
        <f t="shared" ca="1" si="0"/>
        <v>50</v>
      </c>
      <c r="AX22" s="40" t="str">
        <f t="shared" ca="1" si="1"/>
        <v>Break</v>
      </c>
    </row>
    <row r="23" spans="2:52" s="40" customFormat="1" ht="9.9499999999999993" customHeight="1" x14ac:dyDescent="0.3">
      <c r="B23" s="63"/>
      <c r="C23" s="446">
        <f>C18</f>
        <v>0.66666666666666663</v>
      </c>
      <c r="D23" s="447"/>
      <c r="E23" s="397">
        <f ca="1">IFERROR(
  _xlfn.LET(
    _xlpm.time_diff,
    MOD(C27 - C23, 1),
    _xlpm.minutes,
    MINUTE(_xlpm.time_diff),
    _xlpm.pausas,
    SUMIF($T23:$V31, "Pausa", $K23:$L31),
    _xlpm.efficiency,
    (1 - _xlpm.pausas / IF(_xlpm.minutes = 0, 60, _xlpm.minutes)),
    _xlpm.result,
    IF(
       _xlpm.minutes = 0,
       ROUND(60 * 60 / cycle_time_welding * _xlpm.efficiency, 0),
       ROUND(_xlpm.minutes * 60 / cycle_time_weldingç * _xlpm.efficiency, 0)
      ),
    _xlpm.result
  ),
0)</f>
        <v>11</v>
      </c>
      <c r="F23" s="398"/>
      <c r="G23" s="413"/>
      <c r="H23" s="414"/>
      <c r="I23" s="419"/>
      <c r="J23" s="419"/>
      <c r="K23" s="419"/>
      <c r="L23" s="419"/>
      <c r="M23" s="66" t="str">
        <f t="shared" si="2"/>
        <v/>
      </c>
      <c r="N23" s="387"/>
      <c r="O23" s="388"/>
      <c r="P23" s="389"/>
      <c r="Q23" s="387"/>
      <c r="R23" s="388"/>
      <c r="S23" s="389"/>
      <c r="T23" s="379"/>
      <c r="U23" s="380"/>
      <c r="V23" s="386"/>
      <c r="W23" s="387"/>
      <c r="X23" s="388"/>
      <c r="Y23" s="389"/>
      <c r="Z23" s="387"/>
      <c r="AA23" s="388"/>
      <c r="AB23" s="388"/>
      <c r="AC23" s="388"/>
      <c r="AD23" s="388"/>
      <c r="AE23" s="388"/>
      <c r="AF23" s="388"/>
      <c r="AG23" s="388"/>
      <c r="AH23" s="388"/>
      <c r="AI23" s="388"/>
      <c r="AJ23" s="388"/>
      <c r="AK23" s="388"/>
      <c r="AL23" s="388"/>
      <c r="AM23" s="388"/>
      <c r="AN23" s="388"/>
      <c r="AO23" s="388"/>
      <c r="AP23" s="388"/>
      <c r="AQ23" s="388"/>
      <c r="AR23" s="388"/>
      <c r="AS23" s="452"/>
      <c r="AT23" s="48"/>
      <c r="AW23" s="61"/>
    </row>
    <row r="24" spans="2:52" s="40" customFormat="1" ht="9.9499999999999993" customHeight="1" x14ac:dyDescent="0.3">
      <c r="B24" s="63"/>
      <c r="C24" s="448"/>
      <c r="D24" s="449"/>
      <c r="E24" s="411"/>
      <c r="F24" s="412"/>
      <c r="G24" s="415"/>
      <c r="H24" s="416"/>
      <c r="I24" s="401"/>
      <c r="J24" s="401"/>
      <c r="K24" s="401"/>
      <c r="L24" s="401"/>
      <c r="M24" s="66" t="str">
        <f t="shared" si="2"/>
        <v/>
      </c>
      <c r="N24" s="379"/>
      <c r="O24" s="380"/>
      <c r="P24" s="386"/>
      <c r="Q24" s="379"/>
      <c r="R24" s="380"/>
      <c r="S24" s="386"/>
      <c r="T24" s="379"/>
      <c r="U24" s="380"/>
      <c r="V24" s="386"/>
      <c r="W24" s="379"/>
      <c r="X24" s="380"/>
      <c r="Y24" s="386"/>
      <c r="Z24" s="379"/>
      <c r="AA24" s="380"/>
      <c r="AB24" s="380"/>
      <c r="AC24" s="380"/>
      <c r="AD24" s="380"/>
      <c r="AE24" s="380"/>
      <c r="AF24" s="380"/>
      <c r="AG24" s="380"/>
      <c r="AH24" s="380"/>
      <c r="AI24" s="380"/>
      <c r="AJ24" s="380"/>
      <c r="AK24" s="380"/>
      <c r="AL24" s="380"/>
      <c r="AM24" s="380"/>
      <c r="AN24" s="380"/>
      <c r="AO24" s="380"/>
      <c r="AP24" s="380"/>
      <c r="AQ24" s="380"/>
      <c r="AR24" s="380"/>
      <c r="AS24" s="381"/>
      <c r="AT24" s="48"/>
      <c r="AW24" s="61"/>
    </row>
    <row r="25" spans="2:52" s="40" customFormat="1" ht="9.9499999999999993" customHeight="1" x14ac:dyDescent="0.3">
      <c r="B25" s="63"/>
      <c r="C25" s="448"/>
      <c r="D25" s="449"/>
      <c r="E25" s="411"/>
      <c r="F25" s="412"/>
      <c r="G25" s="415"/>
      <c r="H25" s="416"/>
      <c r="I25" s="401"/>
      <c r="J25" s="401"/>
      <c r="K25" s="401"/>
      <c r="L25" s="401"/>
      <c r="M25" s="66" t="str">
        <f t="shared" si="2"/>
        <v/>
      </c>
      <c r="N25" s="379"/>
      <c r="O25" s="380"/>
      <c r="P25" s="386"/>
      <c r="Q25" s="379"/>
      <c r="R25" s="380"/>
      <c r="S25" s="386"/>
      <c r="T25" s="379"/>
      <c r="U25" s="380"/>
      <c r="V25" s="386"/>
      <c r="W25" s="379"/>
      <c r="X25" s="380"/>
      <c r="Y25" s="386"/>
      <c r="Z25" s="379"/>
      <c r="AA25" s="380"/>
      <c r="AB25" s="380"/>
      <c r="AC25" s="380"/>
      <c r="AD25" s="380"/>
      <c r="AE25" s="380"/>
      <c r="AF25" s="380"/>
      <c r="AG25" s="380"/>
      <c r="AH25" s="380"/>
      <c r="AI25" s="380"/>
      <c r="AJ25" s="380"/>
      <c r="AK25" s="380"/>
      <c r="AL25" s="380"/>
      <c r="AM25" s="380"/>
      <c r="AN25" s="380"/>
      <c r="AO25" s="380"/>
      <c r="AP25" s="380"/>
      <c r="AQ25" s="380"/>
      <c r="AR25" s="380"/>
      <c r="AS25" s="381"/>
      <c r="AT25" s="48"/>
      <c r="AW25" s="61"/>
    </row>
    <row r="26" spans="2:52" s="40" customFormat="1" ht="9.9499999999999993" customHeight="1" x14ac:dyDescent="0.3">
      <c r="B26" s="63"/>
      <c r="C26" s="448"/>
      <c r="D26" s="449"/>
      <c r="E26" s="411"/>
      <c r="F26" s="412"/>
      <c r="G26" s="415"/>
      <c r="H26" s="416"/>
      <c r="I26" s="401"/>
      <c r="J26" s="401"/>
      <c r="K26" s="401"/>
      <c r="L26" s="401"/>
      <c r="M26" s="66" t="str">
        <f t="shared" si="2"/>
        <v/>
      </c>
      <c r="N26" s="379"/>
      <c r="O26" s="380"/>
      <c r="P26" s="386"/>
      <c r="Q26" s="379"/>
      <c r="R26" s="380"/>
      <c r="S26" s="386"/>
      <c r="T26" s="379"/>
      <c r="U26" s="380"/>
      <c r="V26" s="386"/>
      <c r="W26" s="379"/>
      <c r="X26" s="380"/>
      <c r="Y26" s="386"/>
      <c r="Z26" s="379"/>
      <c r="AA26" s="380"/>
      <c r="AB26" s="380"/>
      <c r="AC26" s="380"/>
      <c r="AD26" s="380"/>
      <c r="AE26" s="380"/>
      <c r="AF26" s="380"/>
      <c r="AG26" s="380"/>
      <c r="AH26" s="380"/>
      <c r="AI26" s="380"/>
      <c r="AJ26" s="380"/>
      <c r="AK26" s="380"/>
      <c r="AL26" s="380"/>
      <c r="AM26" s="380"/>
      <c r="AN26" s="380"/>
      <c r="AO26" s="380"/>
      <c r="AP26" s="380"/>
      <c r="AQ26" s="380"/>
      <c r="AR26" s="380"/>
      <c r="AS26" s="381"/>
      <c r="AT26" s="48"/>
    </row>
    <row r="27" spans="2:52" s="40" customFormat="1" ht="9.9499999999999993" customHeight="1" x14ac:dyDescent="0.3">
      <c r="B27" s="63"/>
      <c r="C27" s="448">
        <f>IFERROR(TIME(HOUR(C23) + 1, 0, 0), "")</f>
        <v>0.70833333333333337</v>
      </c>
      <c r="D27" s="449"/>
      <c r="E27" s="411"/>
      <c r="F27" s="412"/>
      <c r="G27" s="415"/>
      <c r="H27" s="416"/>
      <c r="I27" s="401"/>
      <c r="J27" s="401"/>
      <c r="K27" s="401"/>
      <c r="L27" s="401"/>
      <c r="M27" s="66" t="str">
        <f t="shared" si="2"/>
        <v/>
      </c>
      <c r="N27" s="379"/>
      <c r="O27" s="380"/>
      <c r="P27" s="386"/>
      <c r="Q27" s="379"/>
      <c r="R27" s="380"/>
      <c r="S27" s="386"/>
      <c r="T27" s="379"/>
      <c r="U27" s="380"/>
      <c r="V27" s="386"/>
      <c r="W27" s="379"/>
      <c r="X27" s="380"/>
      <c r="Y27" s="386"/>
      <c r="Z27" s="379"/>
      <c r="AA27" s="380"/>
      <c r="AB27" s="380"/>
      <c r="AC27" s="380"/>
      <c r="AD27" s="380"/>
      <c r="AE27" s="380"/>
      <c r="AF27" s="380"/>
      <c r="AG27" s="380"/>
      <c r="AH27" s="380"/>
      <c r="AI27" s="380"/>
      <c r="AJ27" s="380"/>
      <c r="AK27" s="380"/>
      <c r="AL27" s="380"/>
      <c r="AM27" s="380"/>
      <c r="AN27" s="380"/>
      <c r="AO27" s="380"/>
      <c r="AP27" s="380"/>
      <c r="AQ27" s="380"/>
      <c r="AR27" s="380"/>
      <c r="AS27" s="381"/>
      <c r="AT27" s="48"/>
    </row>
    <row r="28" spans="2:52" s="40" customFormat="1" ht="9.9499999999999993" customHeight="1" x14ac:dyDescent="0.3">
      <c r="B28" s="63"/>
      <c r="C28" s="448"/>
      <c r="D28" s="449"/>
      <c r="E28" s="411"/>
      <c r="F28" s="412"/>
      <c r="G28" s="415"/>
      <c r="H28" s="416"/>
      <c r="I28" s="401"/>
      <c r="J28" s="401"/>
      <c r="K28" s="401"/>
      <c r="L28" s="401"/>
      <c r="M28" s="66" t="str">
        <f t="shared" si="2"/>
        <v/>
      </c>
      <c r="N28" s="379"/>
      <c r="O28" s="380"/>
      <c r="P28" s="386"/>
      <c r="Q28" s="379"/>
      <c r="R28" s="380"/>
      <c r="S28" s="386"/>
      <c r="T28" s="379"/>
      <c r="U28" s="380"/>
      <c r="V28" s="386"/>
      <c r="W28" s="379"/>
      <c r="X28" s="380"/>
      <c r="Y28" s="386"/>
      <c r="Z28" s="379"/>
      <c r="AA28" s="380"/>
      <c r="AB28" s="380"/>
      <c r="AC28" s="380"/>
      <c r="AD28" s="380"/>
      <c r="AE28" s="380"/>
      <c r="AF28" s="380"/>
      <c r="AG28" s="380"/>
      <c r="AH28" s="380"/>
      <c r="AI28" s="380"/>
      <c r="AJ28" s="380"/>
      <c r="AK28" s="380"/>
      <c r="AL28" s="380"/>
      <c r="AM28" s="380"/>
      <c r="AN28" s="380"/>
      <c r="AO28" s="380"/>
      <c r="AP28" s="380"/>
      <c r="AQ28" s="380"/>
      <c r="AR28" s="380"/>
      <c r="AS28" s="381"/>
      <c r="AT28" s="48"/>
    </row>
    <row r="29" spans="2:52" s="40" customFormat="1" ht="9.9499999999999993" customHeight="1" x14ac:dyDescent="0.3">
      <c r="B29" s="63"/>
      <c r="C29" s="448"/>
      <c r="D29" s="449"/>
      <c r="E29" s="399"/>
      <c r="F29" s="400"/>
      <c r="G29" s="417"/>
      <c r="H29" s="418"/>
      <c r="I29" s="401"/>
      <c r="J29" s="401"/>
      <c r="K29" s="401"/>
      <c r="L29" s="401"/>
      <c r="M29" s="66" t="str">
        <f t="shared" si="2"/>
        <v/>
      </c>
      <c r="N29" s="379"/>
      <c r="O29" s="380"/>
      <c r="P29" s="386"/>
      <c r="Q29" s="379"/>
      <c r="R29" s="380"/>
      <c r="S29" s="386"/>
      <c r="T29" s="379"/>
      <c r="U29" s="380"/>
      <c r="V29" s="386"/>
      <c r="W29" s="379"/>
      <c r="X29" s="380"/>
      <c r="Y29" s="386"/>
      <c r="Z29" s="379"/>
      <c r="AA29" s="380"/>
      <c r="AB29" s="380"/>
      <c r="AC29" s="380"/>
      <c r="AD29" s="380"/>
      <c r="AE29" s="380"/>
      <c r="AF29" s="380"/>
      <c r="AG29" s="380"/>
      <c r="AH29" s="380"/>
      <c r="AI29" s="380"/>
      <c r="AJ29" s="380"/>
      <c r="AK29" s="380"/>
      <c r="AL29" s="380"/>
      <c r="AM29" s="380"/>
      <c r="AN29" s="380"/>
      <c r="AO29" s="380"/>
      <c r="AP29" s="380"/>
      <c r="AQ29" s="380"/>
      <c r="AR29" s="380"/>
      <c r="AS29" s="381"/>
      <c r="AT29" s="48"/>
    </row>
    <row r="30" spans="2:52" s="40" customFormat="1" ht="9.9499999999999993" customHeight="1" x14ac:dyDescent="0.3">
      <c r="B30" s="63"/>
      <c r="C30" s="448"/>
      <c r="D30" s="449"/>
      <c r="E30" s="393">
        <f ca="1">IFERROR(E21 + E23, "")</f>
        <v>17</v>
      </c>
      <c r="F30" s="394"/>
      <c r="G30" s="397">
        <f>G21+G23</f>
        <v>0</v>
      </c>
      <c r="H30" s="398"/>
      <c r="I30" s="401"/>
      <c r="J30" s="401"/>
      <c r="K30" s="401"/>
      <c r="L30" s="401"/>
      <c r="M30" s="66" t="str">
        <f t="shared" si="2"/>
        <v/>
      </c>
      <c r="N30" s="379"/>
      <c r="O30" s="380"/>
      <c r="P30" s="386"/>
      <c r="Q30" s="379"/>
      <c r="R30" s="380"/>
      <c r="S30" s="386"/>
      <c r="T30" s="379"/>
      <c r="U30" s="380"/>
      <c r="V30" s="386"/>
      <c r="W30" s="379"/>
      <c r="X30" s="380"/>
      <c r="Y30" s="386"/>
      <c r="Z30" s="379"/>
      <c r="AA30" s="380"/>
      <c r="AB30" s="380"/>
      <c r="AC30" s="380"/>
      <c r="AD30" s="380"/>
      <c r="AE30" s="380"/>
      <c r="AF30" s="380"/>
      <c r="AG30" s="380"/>
      <c r="AH30" s="380"/>
      <c r="AI30" s="380"/>
      <c r="AJ30" s="380"/>
      <c r="AK30" s="380"/>
      <c r="AL30" s="380"/>
      <c r="AM30" s="380"/>
      <c r="AN30" s="380"/>
      <c r="AO30" s="380"/>
      <c r="AP30" s="380"/>
      <c r="AQ30" s="380"/>
      <c r="AR30" s="380"/>
      <c r="AS30" s="381"/>
      <c r="AT30" s="48"/>
    </row>
    <row r="31" spans="2:52" s="40" customFormat="1" ht="9.9499999999999993" customHeight="1" x14ac:dyDescent="0.3">
      <c r="B31" s="63"/>
      <c r="C31" s="450"/>
      <c r="D31" s="451"/>
      <c r="E31" s="395"/>
      <c r="F31" s="396"/>
      <c r="G31" s="399"/>
      <c r="H31" s="400"/>
      <c r="I31" s="401"/>
      <c r="J31" s="401"/>
      <c r="K31" s="401"/>
      <c r="L31" s="401"/>
      <c r="M31" s="67" t="str">
        <f t="shared" si="2"/>
        <v/>
      </c>
      <c r="N31" s="382"/>
      <c r="O31" s="383"/>
      <c r="P31" s="384"/>
      <c r="Q31" s="382"/>
      <c r="R31" s="383"/>
      <c r="S31" s="384"/>
      <c r="T31" s="382"/>
      <c r="U31" s="383"/>
      <c r="V31" s="384"/>
      <c r="W31" s="382"/>
      <c r="X31" s="383"/>
      <c r="Y31" s="384"/>
      <c r="Z31" s="382"/>
      <c r="AA31" s="383"/>
      <c r="AB31" s="383"/>
      <c r="AC31" s="383"/>
      <c r="AD31" s="383"/>
      <c r="AE31" s="383"/>
      <c r="AF31" s="383"/>
      <c r="AG31" s="383"/>
      <c r="AH31" s="383"/>
      <c r="AI31" s="383"/>
      <c r="AJ31" s="383"/>
      <c r="AK31" s="383"/>
      <c r="AL31" s="383"/>
      <c r="AM31" s="383"/>
      <c r="AN31" s="383"/>
      <c r="AO31" s="383"/>
      <c r="AP31" s="383"/>
      <c r="AQ31" s="383"/>
      <c r="AR31" s="383"/>
      <c r="AS31" s="385"/>
      <c r="AT31" s="48"/>
    </row>
    <row r="32" spans="2:52" s="40" customFormat="1" ht="9.9499999999999993" customHeight="1" x14ac:dyDescent="0.3">
      <c r="B32" s="63"/>
      <c r="C32" s="446">
        <f>C27</f>
        <v>0.70833333333333337</v>
      </c>
      <c r="D32" s="447"/>
      <c r="E32" s="397">
        <f ca="1">IFERROR(
  _xlfn.LET(
    _xlpm.time_diff,
    MOD(C36 - C32, 1),
    _xlpm.minutes,
    MINUTE(_xlpm.time_diff),
    _xlpm.pausas,
    SUMIF($T32:$V40, "Pausa", $K32:$L40),
    _xlpm.efficiency,
    (1 - _xlpm.pausas / IF(_xlpm.minutes = 0, 60, _xlpm.minutes)),
    _xlpm.result,
    IF(
       _xlpm.minutes = 0,
       ROUND(60 * 60 / cycle_time_welding * _xlpm.efficiency, 0),
       ROUND(_xlpm.minutes * 60 / cycle_time_welding * _xlpm.efficiency, 0)
      ),
    _xlpm.result
  ),
0)</f>
        <v>11</v>
      </c>
      <c r="F32" s="398"/>
      <c r="G32" s="413"/>
      <c r="H32" s="414"/>
      <c r="I32" s="419"/>
      <c r="J32" s="419"/>
      <c r="K32" s="419">
        <f>IF(Q5 = "X", 10, IF(R5 = "X", 10, IF(S5 = "X", 10, 0)))</f>
        <v>10</v>
      </c>
      <c r="L32" s="419"/>
      <c r="M32" s="112">
        <f t="shared" si="2"/>
        <v>10</v>
      </c>
      <c r="N32" s="387"/>
      <c r="O32" s="388"/>
      <c r="P32" s="389"/>
      <c r="Q32" s="387"/>
      <c r="R32" s="388"/>
      <c r="S32" s="389"/>
      <c r="T32" s="387" t="str">
        <f>IF($Q$5 = "X", "Break", IF($R$5 = "X", "Break", IF($S$5 = "X", "Break", "")))</f>
        <v>Break</v>
      </c>
      <c r="U32" s="388"/>
      <c r="V32" s="389"/>
      <c r="W32" s="387"/>
      <c r="X32" s="388"/>
      <c r="Y32" s="389"/>
      <c r="Z32" s="387"/>
      <c r="AA32" s="388"/>
      <c r="AB32" s="388"/>
      <c r="AC32" s="388"/>
      <c r="AD32" s="388"/>
      <c r="AE32" s="388"/>
      <c r="AF32" s="388"/>
      <c r="AG32" s="388"/>
      <c r="AH32" s="388"/>
      <c r="AI32" s="388"/>
      <c r="AJ32" s="388"/>
      <c r="AK32" s="388"/>
      <c r="AL32" s="388"/>
      <c r="AM32" s="388"/>
      <c r="AN32" s="388"/>
      <c r="AO32" s="388"/>
      <c r="AP32" s="388"/>
      <c r="AQ32" s="388"/>
      <c r="AR32" s="388"/>
      <c r="AS32" s="452"/>
      <c r="AT32" s="48"/>
    </row>
    <row r="33" spans="2:48" s="40" customFormat="1" ht="9.9499999999999993" customHeight="1" x14ac:dyDescent="0.3">
      <c r="B33" s="63"/>
      <c r="C33" s="448"/>
      <c r="D33" s="449"/>
      <c r="E33" s="411"/>
      <c r="F33" s="412"/>
      <c r="G33" s="415"/>
      <c r="H33" s="416"/>
      <c r="I33" s="401"/>
      <c r="J33" s="401"/>
      <c r="K33" s="401"/>
      <c r="L33" s="401"/>
      <c r="M33" s="66" t="str">
        <f t="shared" si="2"/>
        <v/>
      </c>
      <c r="N33" s="379"/>
      <c r="O33" s="380"/>
      <c r="P33" s="386"/>
      <c r="Q33" s="379"/>
      <c r="R33" s="380"/>
      <c r="S33" s="386"/>
      <c r="T33" s="379"/>
      <c r="U33" s="380"/>
      <c r="V33" s="386"/>
      <c r="W33" s="379"/>
      <c r="X33" s="380"/>
      <c r="Y33" s="386"/>
      <c r="Z33" s="379"/>
      <c r="AA33" s="380"/>
      <c r="AB33" s="380"/>
      <c r="AC33" s="380"/>
      <c r="AD33" s="380"/>
      <c r="AE33" s="380"/>
      <c r="AF33" s="380"/>
      <c r="AG33" s="380"/>
      <c r="AH33" s="380"/>
      <c r="AI33" s="380"/>
      <c r="AJ33" s="380"/>
      <c r="AK33" s="380"/>
      <c r="AL33" s="380"/>
      <c r="AM33" s="380"/>
      <c r="AN33" s="380"/>
      <c r="AO33" s="380"/>
      <c r="AP33" s="380"/>
      <c r="AQ33" s="380"/>
      <c r="AR33" s="380"/>
      <c r="AS33" s="381"/>
      <c r="AT33" s="48"/>
    </row>
    <row r="34" spans="2:48" s="40" customFormat="1" ht="9.9499999999999993" customHeight="1" x14ac:dyDescent="0.3">
      <c r="B34" s="63"/>
      <c r="C34" s="448"/>
      <c r="D34" s="449"/>
      <c r="E34" s="411"/>
      <c r="F34" s="412"/>
      <c r="G34" s="415"/>
      <c r="H34" s="416"/>
      <c r="I34" s="401"/>
      <c r="J34" s="401"/>
      <c r="K34" s="401"/>
      <c r="L34" s="401"/>
      <c r="M34" s="66" t="str">
        <f t="shared" si="2"/>
        <v/>
      </c>
      <c r="N34" s="379"/>
      <c r="O34" s="380"/>
      <c r="P34" s="386"/>
      <c r="Q34" s="379"/>
      <c r="R34" s="380"/>
      <c r="S34" s="386"/>
      <c r="T34" s="379"/>
      <c r="U34" s="380"/>
      <c r="V34" s="386"/>
      <c r="W34" s="379"/>
      <c r="X34" s="380"/>
      <c r="Y34" s="386"/>
      <c r="Z34" s="379"/>
      <c r="AA34" s="380"/>
      <c r="AB34" s="380"/>
      <c r="AC34" s="380"/>
      <c r="AD34" s="380"/>
      <c r="AE34" s="380"/>
      <c r="AF34" s="380"/>
      <c r="AG34" s="380"/>
      <c r="AH34" s="380"/>
      <c r="AI34" s="380"/>
      <c r="AJ34" s="380"/>
      <c r="AK34" s="380"/>
      <c r="AL34" s="380"/>
      <c r="AM34" s="380"/>
      <c r="AN34" s="380"/>
      <c r="AO34" s="380"/>
      <c r="AP34" s="380"/>
      <c r="AQ34" s="380"/>
      <c r="AR34" s="380"/>
      <c r="AS34" s="381"/>
      <c r="AT34" s="48"/>
    </row>
    <row r="35" spans="2:48" s="40" customFormat="1" ht="9.9499999999999993" customHeight="1" x14ac:dyDescent="0.3">
      <c r="B35" s="63"/>
      <c r="C35" s="448"/>
      <c r="D35" s="449"/>
      <c r="E35" s="411"/>
      <c r="F35" s="412"/>
      <c r="G35" s="415"/>
      <c r="H35" s="416"/>
      <c r="I35" s="401"/>
      <c r="J35" s="401"/>
      <c r="K35" s="401"/>
      <c r="L35" s="401"/>
      <c r="M35" s="66" t="str">
        <f t="shared" si="2"/>
        <v/>
      </c>
      <c r="N35" s="379"/>
      <c r="O35" s="380"/>
      <c r="P35" s="386"/>
      <c r="Q35" s="379"/>
      <c r="R35" s="380"/>
      <c r="S35" s="386"/>
      <c r="T35" s="379"/>
      <c r="U35" s="380"/>
      <c r="V35" s="386"/>
      <c r="W35" s="379"/>
      <c r="X35" s="380"/>
      <c r="Y35" s="386"/>
      <c r="Z35" s="379"/>
      <c r="AA35" s="380"/>
      <c r="AB35" s="380"/>
      <c r="AC35" s="380"/>
      <c r="AD35" s="380"/>
      <c r="AE35" s="380"/>
      <c r="AF35" s="380"/>
      <c r="AG35" s="380"/>
      <c r="AH35" s="380"/>
      <c r="AI35" s="380"/>
      <c r="AJ35" s="380"/>
      <c r="AK35" s="380"/>
      <c r="AL35" s="380"/>
      <c r="AM35" s="380"/>
      <c r="AN35" s="380"/>
      <c r="AO35" s="380"/>
      <c r="AP35" s="380"/>
      <c r="AQ35" s="380"/>
      <c r="AR35" s="380"/>
      <c r="AS35" s="381"/>
      <c r="AT35" s="48"/>
    </row>
    <row r="36" spans="2:48" s="40" customFormat="1" ht="9.9499999999999993" customHeight="1" x14ac:dyDescent="0.3">
      <c r="B36" s="63"/>
      <c r="C36" s="448">
        <f>IFERROR(TIME(HOUR(C32) + 1, 0, 0), "")</f>
        <v>0.75</v>
      </c>
      <c r="D36" s="449"/>
      <c r="E36" s="411"/>
      <c r="F36" s="412"/>
      <c r="G36" s="415"/>
      <c r="H36" s="416"/>
      <c r="I36" s="401"/>
      <c r="J36" s="401"/>
      <c r="K36" s="401"/>
      <c r="L36" s="401"/>
      <c r="M36" s="66" t="str">
        <f t="shared" si="2"/>
        <v/>
      </c>
      <c r="N36" s="379"/>
      <c r="O36" s="380"/>
      <c r="P36" s="386"/>
      <c r="Q36" s="379"/>
      <c r="R36" s="380"/>
      <c r="S36" s="386"/>
      <c r="T36" s="379"/>
      <c r="U36" s="380"/>
      <c r="V36" s="386"/>
      <c r="W36" s="379"/>
      <c r="X36" s="380"/>
      <c r="Y36" s="386"/>
      <c r="Z36" s="379"/>
      <c r="AA36" s="380"/>
      <c r="AB36" s="380"/>
      <c r="AC36" s="380"/>
      <c r="AD36" s="380"/>
      <c r="AE36" s="380"/>
      <c r="AF36" s="380"/>
      <c r="AG36" s="380"/>
      <c r="AH36" s="380"/>
      <c r="AI36" s="380"/>
      <c r="AJ36" s="380"/>
      <c r="AK36" s="380"/>
      <c r="AL36" s="380"/>
      <c r="AM36" s="380"/>
      <c r="AN36" s="380"/>
      <c r="AO36" s="380"/>
      <c r="AP36" s="380"/>
      <c r="AQ36" s="380"/>
      <c r="AR36" s="380"/>
      <c r="AS36" s="381"/>
      <c r="AT36" s="48"/>
    </row>
    <row r="37" spans="2:48" s="40" customFormat="1" ht="9.9499999999999993" customHeight="1" x14ac:dyDescent="0.3">
      <c r="B37" s="63"/>
      <c r="C37" s="448"/>
      <c r="D37" s="449"/>
      <c r="E37" s="411"/>
      <c r="F37" s="412"/>
      <c r="G37" s="415"/>
      <c r="H37" s="416"/>
      <c r="I37" s="401"/>
      <c r="J37" s="401"/>
      <c r="K37" s="401"/>
      <c r="L37" s="401"/>
      <c r="M37" s="66" t="str">
        <f t="shared" si="2"/>
        <v/>
      </c>
      <c r="N37" s="379"/>
      <c r="O37" s="380"/>
      <c r="P37" s="386"/>
      <c r="Q37" s="379"/>
      <c r="R37" s="380"/>
      <c r="S37" s="386"/>
      <c r="T37" s="379"/>
      <c r="U37" s="380"/>
      <c r="V37" s="386"/>
      <c r="W37" s="379"/>
      <c r="X37" s="380"/>
      <c r="Y37" s="386"/>
      <c r="Z37" s="379"/>
      <c r="AA37" s="380"/>
      <c r="AB37" s="380"/>
      <c r="AC37" s="380"/>
      <c r="AD37" s="380"/>
      <c r="AE37" s="380"/>
      <c r="AF37" s="380"/>
      <c r="AG37" s="380"/>
      <c r="AH37" s="380"/>
      <c r="AI37" s="380"/>
      <c r="AJ37" s="380"/>
      <c r="AK37" s="380"/>
      <c r="AL37" s="380"/>
      <c r="AM37" s="380"/>
      <c r="AN37" s="380"/>
      <c r="AO37" s="380"/>
      <c r="AP37" s="380"/>
      <c r="AQ37" s="380"/>
      <c r="AR37" s="380"/>
      <c r="AS37" s="381"/>
      <c r="AT37" s="48"/>
    </row>
    <row r="38" spans="2:48" s="40" customFormat="1" ht="9.9499999999999993" customHeight="1" x14ac:dyDescent="0.3">
      <c r="B38" s="63"/>
      <c r="C38" s="448"/>
      <c r="D38" s="449"/>
      <c r="E38" s="399"/>
      <c r="F38" s="400"/>
      <c r="G38" s="417"/>
      <c r="H38" s="418"/>
      <c r="I38" s="401"/>
      <c r="J38" s="401"/>
      <c r="K38" s="401"/>
      <c r="L38" s="401"/>
      <c r="M38" s="66" t="str">
        <f t="shared" si="2"/>
        <v/>
      </c>
      <c r="N38" s="379"/>
      <c r="O38" s="380"/>
      <c r="P38" s="386"/>
      <c r="Q38" s="379"/>
      <c r="R38" s="380"/>
      <c r="S38" s="386"/>
      <c r="T38" s="379"/>
      <c r="U38" s="380"/>
      <c r="V38" s="386"/>
      <c r="W38" s="379"/>
      <c r="X38" s="380"/>
      <c r="Y38" s="386"/>
      <c r="Z38" s="379"/>
      <c r="AA38" s="380"/>
      <c r="AB38" s="380"/>
      <c r="AC38" s="380"/>
      <c r="AD38" s="380"/>
      <c r="AE38" s="380"/>
      <c r="AF38" s="380"/>
      <c r="AG38" s="380"/>
      <c r="AH38" s="380"/>
      <c r="AI38" s="380"/>
      <c r="AJ38" s="380"/>
      <c r="AK38" s="380"/>
      <c r="AL38" s="380"/>
      <c r="AM38" s="380"/>
      <c r="AN38" s="380"/>
      <c r="AO38" s="380"/>
      <c r="AP38" s="380"/>
      <c r="AQ38" s="380"/>
      <c r="AR38" s="380"/>
      <c r="AS38" s="381"/>
      <c r="AT38" s="68"/>
    </row>
    <row r="39" spans="2:48" s="40" customFormat="1" ht="9.9499999999999993" customHeight="1" x14ac:dyDescent="0.3">
      <c r="B39" s="63"/>
      <c r="C39" s="448"/>
      <c r="D39" s="449"/>
      <c r="E39" s="393">
        <f ca="1">IFERROR(E30 + E32, "")</f>
        <v>28</v>
      </c>
      <c r="F39" s="394"/>
      <c r="G39" s="397">
        <f>G30+G32</f>
        <v>0</v>
      </c>
      <c r="H39" s="398"/>
      <c r="I39" s="401"/>
      <c r="J39" s="401"/>
      <c r="K39" s="401"/>
      <c r="L39" s="401"/>
      <c r="M39" s="66" t="str">
        <f t="shared" si="2"/>
        <v/>
      </c>
      <c r="N39" s="379"/>
      <c r="O39" s="380"/>
      <c r="P39" s="386"/>
      <c r="Q39" s="379"/>
      <c r="R39" s="380"/>
      <c r="S39" s="386"/>
      <c r="T39" s="379"/>
      <c r="U39" s="380"/>
      <c r="V39" s="386"/>
      <c r="W39" s="379"/>
      <c r="X39" s="380"/>
      <c r="Y39" s="386"/>
      <c r="Z39" s="379"/>
      <c r="AA39" s="380"/>
      <c r="AB39" s="380"/>
      <c r="AC39" s="380"/>
      <c r="AD39" s="380"/>
      <c r="AE39" s="380"/>
      <c r="AF39" s="380"/>
      <c r="AG39" s="380"/>
      <c r="AH39" s="380"/>
      <c r="AI39" s="380"/>
      <c r="AJ39" s="380"/>
      <c r="AK39" s="380"/>
      <c r="AL39" s="380"/>
      <c r="AM39" s="380"/>
      <c r="AN39" s="380"/>
      <c r="AO39" s="380"/>
      <c r="AP39" s="380"/>
      <c r="AQ39" s="380"/>
      <c r="AR39" s="380"/>
      <c r="AS39" s="381"/>
      <c r="AT39" s="68"/>
    </row>
    <row r="40" spans="2:48" s="40" customFormat="1" ht="9.9499999999999993" customHeight="1" x14ac:dyDescent="0.3">
      <c r="B40" s="63"/>
      <c r="C40" s="450"/>
      <c r="D40" s="451"/>
      <c r="E40" s="395"/>
      <c r="F40" s="396"/>
      <c r="G40" s="399"/>
      <c r="H40" s="400"/>
      <c r="I40" s="401"/>
      <c r="J40" s="401"/>
      <c r="K40" s="401"/>
      <c r="L40" s="401"/>
      <c r="M40" s="67" t="str">
        <f t="shared" si="2"/>
        <v/>
      </c>
      <c r="N40" s="382"/>
      <c r="O40" s="383"/>
      <c r="P40" s="384"/>
      <c r="Q40" s="382"/>
      <c r="R40" s="383"/>
      <c r="S40" s="384"/>
      <c r="T40" s="382"/>
      <c r="U40" s="383"/>
      <c r="V40" s="384"/>
      <c r="W40" s="382"/>
      <c r="X40" s="383"/>
      <c r="Y40" s="384"/>
      <c r="Z40" s="382"/>
      <c r="AA40" s="383"/>
      <c r="AB40" s="383"/>
      <c r="AC40" s="383"/>
      <c r="AD40" s="383"/>
      <c r="AE40" s="383"/>
      <c r="AF40" s="383"/>
      <c r="AG40" s="383"/>
      <c r="AH40" s="383"/>
      <c r="AI40" s="383"/>
      <c r="AJ40" s="383"/>
      <c r="AK40" s="383"/>
      <c r="AL40" s="383"/>
      <c r="AM40" s="383"/>
      <c r="AN40" s="383"/>
      <c r="AO40" s="383"/>
      <c r="AP40" s="383"/>
      <c r="AQ40" s="383"/>
      <c r="AR40" s="383"/>
      <c r="AS40" s="385"/>
      <c r="AT40" s="68"/>
      <c r="AV40" s="47"/>
    </row>
    <row r="41" spans="2:48" s="40" customFormat="1" ht="9.9499999999999993" customHeight="1" x14ac:dyDescent="0.3">
      <c r="B41" s="63"/>
      <c r="C41" s="446">
        <f>C36</f>
        <v>0.75</v>
      </c>
      <c r="D41" s="447"/>
      <c r="E41" s="397">
        <f ca="1">IFERROR(
  _xlfn.LET(
    _xlpm.time_diff,
    MOD(C45 - C41, 1),
    _xlpm.minutes,
    MINUTE(_xlpm.time_diff),
    _xlpm.pausas,
    SUMIF($T41:$V49, "Pausa", $K41:$L49),
    _xlpm.efficiency,
    (1 - _xlpm.pausas / IF(_xlpm.minutes = 0, 60, _xlpm.minutes)),
    _xlpm.result,
    IF(
       _xlpm.minutes = 0,
       ROUND(60 * 60 / cycle_time_welding * _xlpm.efficiency, 0),
       ROUND(_xlpm.minutes * 60 / cycle_time_welding * _xlpm.efficiency, 0)
      ),
    _xlpm.result
  ),
0)</f>
        <v>11</v>
      </c>
      <c r="F41" s="398"/>
      <c r="G41" s="413"/>
      <c r="H41" s="414"/>
      <c r="I41" s="419"/>
      <c r="J41" s="419"/>
      <c r="K41" s="419"/>
      <c r="L41" s="419"/>
      <c r="M41" s="66" t="str">
        <f t="shared" si="2"/>
        <v/>
      </c>
      <c r="N41" s="387"/>
      <c r="O41" s="388"/>
      <c r="P41" s="389"/>
      <c r="Q41" s="387"/>
      <c r="R41" s="388"/>
      <c r="S41" s="389"/>
      <c r="T41" s="387"/>
      <c r="U41" s="388"/>
      <c r="V41" s="389"/>
      <c r="W41" s="387"/>
      <c r="X41" s="388"/>
      <c r="Y41" s="389"/>
      <c r="Z41" s="387"/>
      <c r="AA41" s="388"/>
      <c r="AB41" s="388"/>
      <c r="AC41" s="388"/>
      <c r="AD41" s="388"/>
      <c r="AE41" s="388"/>
      <c r="AF41" s="388"/>
      <c r="AG41" s="388"/>
      <c r="AH41" s="388"/>
      <c r="AI41" s="388"/>
      <c r="AJ41" s="388"/>
      <c r="AK41" s="388"/>
      <c r="AL41" s="388"/>
      <c r="AM41" s="388"/>
      <c r="AN41" s="388"/>
      <c r="AO41" s="388"/>
      <c r="AP41" s="388"/>
      <c r="AQ41" s="388"/>
      <c r="AR41" s="388"/>
      <c r="AS41" s="452"/>
      <c r="AT41" s="68"/>
    </row>
    <row r="42" spans="2:48" s="40" customFormat="1" ht="9.9499999999999993" customHeight="1" x14ac:dyDescent="0.3">
      <c r="B42" s="63"/>
      <c r="C42" s="448"/>
      <c r="D42" s="449"/>
      <c r="E42" s="411"/>
      <c r="F42" s="412"/>
      <c r="G42" s="415"/>
      <c r="H42" s="416"/>
      <c r="I42" s="401"/>
      <c r="J42" s="401"/>
      <c r="K42" s="401"/>
      <c r="L42" s="401"/>
      <c r="M42" s="66" t="str">
        <f t="shared" si="2"/>
        <v/>
      </c>
      <c r="N42" s="379"/>
      <c r="O42" s="380"/>
      <c r="P42" s="386"/>
      <c r="Q42" s="379"/>
      <c r="R42" s="380"/>
      <c r="S42" s="386"/>
      <c r="T42" s="379"/>
      <c r="U42" s="380"/>
      <c r="V42" s="386"/>
      <c r="W42" s="379"/>
      <c r="X42" s="380"/>
      <c r="Y42" s="386"/>
      <c r="Z42" s="379"/>
      <c r="AA42" s="380"/>
      <c r="AB42" s="380"/>
      <c r="AC42" s="380"/>
      <c r="AD42" s="380"/>
      <c r="AE42" s="380"/>
      <c r="AF42" s="380"/>
      <c r="AG42" s="380"/>
      <c r="AH42" s="380"/>
      <c r="AI42" s="380"/>
      <c r="AJ42" s="380"/>
      <c r="AK42" s="380"/>
      <c r="AL42" s="380"/>
      <c r="AM42" s="380"/>
      <c r="AN42" s="380"/>
      <c r="AO42" s="380"/>
      <c r="AP42" s="380"/>
      <c r="AQ42" s="380"/>
      <c r="AR42" s="380"/>
      <c r="AS42" s="381"/>
      <c r="AT42" s="68"/>
    </row>
    <row r="43" spans="2:48" s="40" customFormat="1" ht="9.9499999999999993" customHeight="1" x14ac:dyDescent="0.3">
      <c r="B43" s="63"/>
      <c r="C43" s="448"/>
      <c r="D43" s="449"/>
      <c r="E43" s="411"/>
      <c r="F43" s="412"/>
      <c r="G43" s="415"/>
      <c r="H43" s="416"/>
      <c r="I43" s="401"/>
      <c r="J43" s="401"/>
      <c r="K43" s="401"/>
      <c r="L43" s="401"/>
      <c r="M43" s="66" t="str">
        <f t="shared" si="2"/>
        <v/>
      </c>
      <c r="N43" s="379"/>
      <c r="O43" s="380"/>
      <c r="P43" s="386"/>
      <c r="Q43" s="379"/>
      <c r="R43" s="380"/>
      <c r="S43" s="386"/>
      <c r="T43" s="379"/>
      <c r="U43" s="380"/>
      <c r="V43" s="386"/>
      <c r="W43" s="379"/>
      <c r="X43" s="380"/>
      <c r="Y43" s="386"/>
      <c r="Z43" s="379"/>
      <c r="AA43" s="380"/>
      <c r="AB43" s="380"/>
      <c r="AC43" s="380"/>
      <c r="AD43" s="380"/>
      <c r="AE43" s="380"/>
      <c r="AF43" s="380"/>
      <c r="AG43" s="380"/>
      <c r="AH43" s="380"/>
      <c r="AI43" s="380"/>
      <c r="AJ43" s="380"/>
      <c r="AK43" s="380"/>
      <c r="AL43" s="380"/>
      <c r="AM43" s="380"/>
      <c r="AN43" s="380"/>
      <c r="AO43" s="380"/>
      <c r="AP43" s="380"/>
      <c r="AQ43" s="380"/>
      <c r="AR43" s="380"/>
      <c r="AS43" s="381"/>
      <c r="AT43" s="68"/>
    </row>
    <row r="44" spans="2:48" s="40" customFormat="1" ht="9.9499999999999993" customHeight="1" x14ac:dyDescent="0.3">
      <c r="B44" s="63"/>
      <c r="C44" s="448"/>
      <c r="D44" s="449"/>
      <c r="E44" s="411"/>
      <c r="F44" s="412"/>
      <c r="G44" s="415"/>
      <c r="H44" s="416"/>
      <c r="I44" s="401"/>
      <c r="J44" s="401"/>
      <c r="K44" s="401"/>
      <c r="L44" s="401"/>
      <c r="M44" s="66" t="str">
        <f t="shared" si="2"/>
        <v/>
      </c>
      <c r="N44" s="379"/>
      <c r="O44" s="380"/>
      <c r="P44" s="386"/>
      <c r="Q44" s="379"/>
      <c r="R44" s="380"/>
      <c r="S44" s="386"/>
      <c r="T44" s="379"/>
      <c r="U44" s="380"/>
      <c r="V44" s="386"/>
      <c r="W44" s="379"/>
      <c r="X44" s="380"/>
      <c r="Y44" s="386"/>
      <c r="Z44" s="379"/>
      <c r="AA44" s="380"/>
      <c r="AB44" s="380"/>
      <c r="AC44" s="380"/>
      <c r="AD44" s="380"/>
      <c r="AE44" s="380"/>
      <c r="AF44" s="380"/>
      <c r="AG44" s="380"/>
      <c r="AH44" s="380"/>
      <c r="AI44" s="380"/>
      <c r="AJ44" s="380"/>
      <c r="AK44" s="380"/>
      <c r="AL44" s="380"/>
      <c r="AM44" s="380"/>
      <c r="AN44" s="380"/>
      <c r="AO44" s="380"/>
      <c r="AP44" s="380"/>
      <c r="AQ44" s="380"/>
      <c r="AR44" s="380"/>
      <c r="AS44" s="381"/>
      <c r="AT44" s="68"/>
    </row>
    <row r="45" spans="2:48" s="40" customFormat="1" ht="9.9499999999999993" customHeight="1" x14ac:dyDescent="0.3">
      <c r="B45" s="63"/>
      <c r="C45" s="448">
        <f>IFERROR(TIME(HOUR(C41) + 1, 0, 0), "")</f>
        <v>0.79166666666666663</v>
      </c>
      <c r="D45" s="449"/>
      <c r="E45" s="411"/>
      <c r="F45" s="412"/>
      <c r="G45" s="415"/>
      <c r="H45" s="416"/>
      <c r="I45" s="401"/>
      <c r="J45" s="401"/>
      <c r="K45" s="401"/>
      <c r="L45" s="401"/>
      <c r="M45" s="66" t="str">
        <f t="shared" si="2"/>
        <v/>
      </c>
      <c r="N45" s="379"/>
      <c r="O45" s="380"/>
      <c r="P45" s="386"/>
      <c r="Q45" s="379"/>
      <c r="R45" s="380"/>
      <c r="S45" s="386"/>
      <c r="T45" s="379"/>
      <c r="U45" s="380"/>
      <c r="V45" s="386"/>
      <c r="W45" s="379"/>
      <c r="X45" s="380"/>
      <c r="Y45" s="386"/>
      <c r="Z45" s="379"/>
      <c r="AA45" s="380"/>
      <c r="AB45" s="380"/>
      <c r="AC45" s="380"/>
      <c r="AD45" s="380"/>
      <c r="AE45" s="380"/>
      <c r="AF45" s="380"/>
      <c r="AG45" s="380"/>
      <c r="AH45" s="380"/>
      <c r="AI45" s="380"/>
      <c r="AJ45" s="380"/>
      <c r="AK45" s="380"/>
      <c r="AL45" s="380"/>
      <c r="AM45" s="380"/>
      <c r="AN45" s="380"/>
      <c r="AO45" s="380"/>
      <c r="AP45" s="380"/>
      <c r="AQ45" s="380"/>
      <c r="AR45" s="380"/>
      <c r="AS45" s="381"/>
      <c r="AT45" s="68"/>
    </row>
    <row r="46" spans="2:48" s="40" customFormat="1" ht="9.9499999999999993" customHeight="1" x14ac:dyDescent="0.3">
      <c r="B46" s="63"/>
      <c r="C46" s="448"/>
      <c r="D46" s="449"/>
      <c r="E46" s="411"/>
      <c r="F46" s="412"/>
      <c r="G46" s="415"/>
      <c r="H46" s="416"/>
      <c r="I46" s="401"/>
      <c r="J46" s="401"/>
      <c r="K46" s="401"/>
      <c r="L46" s="401"/>
      <c r="M46" s="66" t="str">
        <f t="shared" si="2"/>
        <v/>
      </c>
      <c r="N46" s="379"/>
      <c r="O46" s="380"/>
      <c r="P46" s="386"/>
      <c r="Q46" s="379"/>
      <c r="R46" s="380"/>
      <c r="S46" s="386"/>
      <c r="T46" s="379"/>
      <c r="U46" s="380"/>
      <c r="V46" s="386"/>
      <c r="W46" s="379"/>
      <c r="X46" s="380"/>
      <c r="Y46" s="386"/>
      <c r="Z46" s="379"/>
      <c r="AA46" s="380"/>
      <c r="AB46" s="380"/>
      <c r="AC46" s="380"/>
      <c r="AD46" s="380"/>
      <c r="AE46" s="380"/>
      <c r="AF46" s="380"/>
      <c r="AG46" s="380"/>
      <c r="AH46" s="380"/>
      <c r="AI46" s="380"/>
      <c r="AJ46" s="380"/>
      <c r="AK46" s="380"/>
      <c r="AL46" s="380"/>
      <c r="AM46" s="380"/>
      <c r="AN46" s="380"/>
      <c r="AO46" s="380"/>
      <c r="AP46" s="380"/>
      <c r="AQ46" s="380"/>
      <c r="AR46" s="380"/>
      <c r="AS46" s="381"/>
      <c r="AT46" s="68"/>
    </row>
    <row r="47" spans="2:48" s="40" customFormat="1" ht="9.9499999999999993" customHeight="1" x14ac:dyDescent="0.3">
      <c r="B47" s="63"/>
      <c r="C47" s="448"/>
      <c r="D47" s="449"/>
      <c r="E47" s="399"/>
      <c r="F47" s="400"/>
      <c r="G47" s="417"/>
      <c r="H47" s="418"/>
      <c r="I47" s="401"/>
      <c r="J47" s="401"/>
      <c r="K47" s="401"/>
      <c r="L47" s="401"/>
      <c r="M47" s="66" t="str">
        <f t="shared" si="2"/>
        <v/>
      </c>
      <c r="N47" s="379"/>
      <c r="O47" s="380"/>
      <c r="P47" s="386"/>
      <c r="Q47" s="379"/>
      <c r="R47" s="380"/>
      <c r="S47" s="386"/>
      <c r="T47" s="379"/>
      <c r="U47" s="380"/>
      <c r="V47" s="386"/>
      <c r="W47" s="379"/>
      <c r="X47" s="380"/>
      <c r="Y47" s="386"/>
      <c r="Z47" s="379"/>
      <c r="AA47" s="380"/>
      <c r="AB47" s="380"/>
      <c r="AC47" s="380"/>
      <c r="AD47" s="380"/>
      <c r="AE47" s="380"/>
      <c r="AF47" s="380"/>
      <c r="AG47" s="380"/>
      <c r="AH47" s="380"/>
      <c r="AI47" s="380"/>
      <c r="AJ47" s="380"/>
      <c r="AK47" s="380"/>
      <c r="AL47" s="380"/>
      <c r="AM47" s="380"/>
      <c r="AN47" s="380"/>
      <c r="AO47" s="380"/>
      <c r="AP47" s="380"/>
      <c r="AQ47" s="380"/>
      <c r="AR47" s="380"/>
      <c r="AS47" s="381"/>
      <c r="AT47" s="68"/>
    </row>
    <row r="48" spans="2:48" s="40" customFormat="1" ht="9.9499999999999993" customHeight="1" x14ac:dyDescent="0.3">
      <c r="B48" s="63"/>
      <c r="C48" s="448"/>
      <c r="D48" s="449"/>
      <c r="E48" s="393">
        <f ca="1">IFERROR(E39 + E41, "")</f>
        <v>39</v>
      </c>
      <c r="F48" s="394"/>
      <c r="G48" s="397">
        <f>G39+G41</f>
        <v>0</v>
      </c>
      <c r="H48" s="398"/>
      <c r="I48" s="401"/>
      <c r="J48" s="401"/>
      <c r="K48" s="401"/>
      <c r="L48" s="401"/>
      <c r="M48" s="66" t="str">
        <f t="shared" si="2"/>
        <v/>
      </c>
      <c r="N48" s="379"/>
      <c r="O48" s="380"/>
      <c r="P48" s="386"/>
      <c r="Q48" s="379"/>
      <c r="R48" s="380"/>
      <c r="S48" s="386"/>
      <c r="T48" s="379"/>
      <c r="U48" s="380"/>
      <c r="V48" s="386"/>
      <c r="W48" s="379"/>
      <c r="X48" s="380"/>
      <c r="Y48" s="386"/>
      <c r="Z48" s="379"/>
      <c r="AA48" s="380"/>
      <c r="AB48" s="380"/>
      <c r="AC48" s="380"/>
      <c r="AD48" s="380"/>
      <c r="AE48" s="380"/>
      <c r="AF48" s="380"/>
      <c r="AG48" s="380"/>
      <c r="AH48" s="380"/>
      <c r="AI48" s="380"/>
      <c r="AJ48" s="380"/>
      <c r="AK48" s="380"/>
      <c r="AL48" s="380"/>
      <c r="AM48" s="380"/>
      <c r="AN48" s="380"/>
      <c r="AO48" s="380"/>
      <c r="AP48" s="380"/>
      <c r="AQ48" s="380"/>
      <c r="AR48" s="380"/>
      <c r="AS48" s="381"/>
      <c r="AT48" s="68"/>
    </row>
    <row r="49" spans="2:46" s="40" customFormat="1" ht="9.9499999999999993" customHeight="1" x14ac:dyDescent="0.3">
      <c r="B49" s="63"/>
      <c r="C49" s="450"/>
      <c r="D49" s="451"/>
      <c r="E49" s="395"/>
      <c r="F49" s="396"/>
      <c r="G49" s="399"/>
      <c r="H49" s="400"/>
      <c r="I49" s="401"/>
      <c r="J49" s="401"/>
      <c r="K49" s="401"/>
      <c r="L49" s="401"/>
      <c r="M49" s="67" t="str">
        <f t="shared" si="2"/>
        <v/>
      </c>
      <c r="N49" s="382"/>
      <c r="O49" s="383"/>
      <c r="P49" s="384"/>
      <c r="Q49" s="382"/>
      <c r="R49" s="383"/>
      <c r="S49" s="384"/>
      <c r="T49" s="382"/>
      <c r="U49" s="383"/>
      <c r="V49" s="384"/>
      <c r="W49" s="382"/>
      <c r="X49" s="383"/>
      <c r="Y49" s="384"/>
      <c r="Z49" s="382"/>
      <c r="AA49" s="383"/>
      <c r="AB49" s="383"/>
      <c r="AC49" s="383"/>
      <c r="AD49" s="383"/>
      <c r="AE49" s="383"/>
      <c r="AF49" s="383"/>
      <c r="AG49" s="383"/>
      <c r="AH49" s="383"/>
      <c r="AI49" s="383"/>
      <c r="AJ49" s="383"/>
      <c r="AK49" s="383"/>
      <c r="AL49" s="383"/>
      <c r="AM49" s="383"/>
      <c r="AN49" s="383"/>
      <c r="AO49" s="383"/>
      <c r="AP49" s="383"/>
      <c r="AQ49" s="383"/>
      <c r="AR49" s="383"/>
      <c r="AS49" s="385"/>
      <c r="AT49" s="68"/>
    </row>
    <row r="50" spans="2:46" s="40" customFormat="1" ht="9.9499999999999993" customHeight="1" x14ac:dyDescent="0.3">
      <c r="B50" s="63"/>
      <c r="C50" s="446">
        <f>C45</f>
        <v>0.79166666666666663</v>
      </c>
      <c r="D50" s="447"/>
      <c r="E50" s="397">
        <f ca="1">IFERROR(
  _xlfn.LET(
    _xlpm.time_diff,
    MOD(C54 - C50, 1),
    _xlpm.minutes,
    MINUTE(_xlpm.time_diff),
    _xlpm.pausas,
    SUMIF($T50:$V58, "Pausa", $K50:$L58),
    _xlpm.efficiency,
    (1 - _xlpm.pausas / IF(_xlpm.minutes = 0, 60, _xlpm.minutes)),
    _xlpm.result,
    IF(
       _xlpm.minutes = 0,
       ROUND(60 * 60 / cycle_time_welding * _xlpm.efficiency, 0),
       ROUND(_xlpm.minutes * 60 / cycle_time_welding * _xlpm.efficiency, 0)
      ),
    _xlpm.result
  ),
0)</f>
        <v>11</v>
      </c>
      <c r="F50" s="398"/>
      <c r="G50" s="413"/>
      <c r="H50" s="414"/>
      <c r="I50" s="419"/>
      <c r="J50" s="419"/>
      <c r="K50" s="419"/>
      <c r="L50" s="419"/>
      <c r="M50" s="66" t="str">
        <f t="shared" si="2"/>
        <v/>
      </c>
      <c r="N50" s="387"/>
      <c r="O50" s="388"/>
      <c r="P50" s="389"/>
      <c r="Q50" s="387"/>
      <c r="R50" s="388"/>
      <c r="S50" s="389"/>
      <c r="T50" s="379"/>
      <c r="U50" s="380"/>
      <c r="V50" s="386"/>
      <c r="W50" s="387"/>
      <c r="X50" s="388"/>
      <c r="Y50" s="389"/>
      <c r="Z50" s="387"/>
      <c r="AA50" s="388"/>
      <c r="AB50" s="388"/>
      <c r="AC50" s="388"/>
      <c r="AD50" s="388"/>
      <c r="AE50" s="388"/>
      <c r="AF50" s="388"/>
      <c r="AG50" s="388"/>
      <c r="AH50" s="388"/>
      <c r="AI50" s="388"/>
      <c r="AJ50" s="388"/>
      <c r="AK50" s="388"/>
      <c r="AL50" s="388"/>
      <c r="AM50" s="388"/>
      <c r="AN50" s="388"/>
      <c r="AO50" s="388"/>
      <c r="AP50" s="388"/>
      <c r="AQ50" s="388"/>
      <c r="AR50" s="388"/>
      <c r="AS50" s="452"/>
      <c r="AT50" s="68"/>
    </row>
    <row r="51" spans="2:46" s="40" customFormat="1" ht="9.9499999999999993" customHeight="1" x14ac:dyDescent="0.3">
      <c r="B51" s="63"/>
      <c r="C51" s="448"/>
      <c r="D51" s="449"/>
      <c r="E51" s="411"/>
      <c r="F51" s="412"/>
      <c r="G51" s="415"/>
      <c r="H51" s="416"/>
      <c r="I51" s="401"/>
      <c r="J51" s="401"/>
      <c r="K51" s="401"/>
      <c r="L51" s="401"/>
      <c r="M51" s="66" t="str">
        <f t="shared" si="2"/>
        <v/>
      </c>
      <c r="N51" s="379"/>
      <c r="O51" s="380"/>
      <c r="P51" s="386"/>
      <c r="Q51" s="379"/>
      <c r="R51" s="380"/>
      <c r="S51" s="386"/>
      <c r="T51" s="379"/>
      <c r="U51" s="380"/>
      <c r="V51" s="386"/>
      <c r="W51" s="379"/>
      <c r="X51" s="380"/>
      <c r="Y51" s="386"/>
      <c r="Z51" s="379"/>
      <c r="AA51" s="380"/>
      <c r="AB51" s="380"/>
      <c r="AC51" s="380"/>
      <c r="AD51" s="380"/>
      <c r="AE51" s="380"/>
      <c r="AF51" s="380"/>
      <c r="AG51" s="380"/>
      <c r="AH51" s="380"/>
      <c r="AI51" s="380"/>
      <c r="AJ51" s="380"/>
      <c r="AK51" s="380"/>
      <c r="AL51" s="380"/>
      <c r="AM51" s="380"/>
      <c r="AN51" s="380"/>
      <c r="AO51" s="380"/>
      <c r="AP51" s="380"/>
      <c r="AQ51" s="380"/>
      <c r="AR51" s="380"/>
      <c r="AS51" s="381"/>
      <c r="AT51" s="68"/>
    </row>
    <row r="52" spans="2:46" s="40" customFormat="1" ht="9.9499999999999993" customHeight="1" x14ac:dyDescent="0.3">
      <c r="B52" s="63"/>
      <c r="C52" s="448"/>
      <c r="D52" s="449"/>
      <c r="E52" s="411"/>
      <c r="F52" s="412"/>
      <c r="G52" s="415"/>
      <c r="H52" s="416"/>
      <c r="I52" s="401"/>
      <c r="J52" s="401"/>
      <c r="K52" s="401"/>
      <c r="L52" s="401"/>
      <c r="M52" s="66" t="str">
        <f t="shared" si="2"/>
        <v/>
      </c>
      <c r="N52" s="379"/>
      <c r="O52" s="380"/>
      <c r="P52" s="386"/>
      <c r="Q52" s="379"/>
      <c r="R52" s="380"/>
      <c r="S52" s="386"/>
      <c r="T52" s="379"/>
      <c r="U52" s="380"/>
      <c r="V52" s="386"/>
      <c r="W52" s="379"/>
      <c r="X52" s="380"/>
      <c r="Y52" s="386"/>
      <c r="Z52" s="379"/>
      <c r="AA52" s="380"/>
      <c r="AB52" s="380"/>
      <c r="AC52" s="380"/>
      <c r="AD52" s="380"/>
      <c r="AE52" s="380"/>
      <c r="AF52" s="380"/>
      <c r="AG52" s="380"/>
      <c r="AH52" s="380"/>
      <c r="AI52" s="380"/>
      <c r="AJ52" s="380"/>
      <c r="AK52" s="380"/>
      <c r="AL52" s="380"/>
      <c r="AM52" s="380"/>
      <c r="AN52" s="380"/>
      <c r="AO52" s="380"/>
      <c r="AP52" s="380"/>
      <c r="AQ52" s="380"/>
      <c r="AR52" s="380"/>
      <c r="AS52" s="381"/>
      <c r="AT52" s="68"/>
    </row>
    <row r="53" spans="2:46" s="40" customFormat="1" ht="9.9499999999999993" customHeight="1" x14ac:dyDescent="0.3">
      <c r="B53" s="63"/>
      <c r="C53" s="448"/>
      <c r="D53" s="449"/>
      <c r="E53" s="411"/>
      <c r="F53" s="412"/>
      <c r="G53" s="415"/>
      <c r="H53" s="416"/>
      <c r="I53" s="401"/>
      <c r="J53" s="401"/>
      <c r="K53" s="401"/>
      <c r="L53" s="401"/>
      <c r="M53" s="66" t="str">
        <f t="shared" si="2"/>
        <v/>
      </c>
      <c r="N53" s="379"/>
      <c r="O53" s="380"/>
      <c r="P53" s="386"/>
      <c r="Q53" s="379"/>
      <c r="R53" s="380"/>
      <c r="S53" s="386"/>
      <c r="T53" s="379"/>
      <c r="U53" s="380"/>
      <c r="V53" s="386"/>
      <c r="W53" s="379"/>
      <c r="X53" s="380"/>
      <c r="Y53" s="386"/>
      <c r="Z53" s="379"/>
      <c r="AA53" s="380"/>
      <c r="AB53" s="380"/>
      <c r="AC53" s="380"/>
      <c r="AD53" s="380"/>
      <c r="AE53" s="380"/>
      <c r="AF53" s="380"/>
      <c r="AG53" s="380"/>
      <c r="AH53" s="380"/>
      <c r="AI53" s="380"/>
      <c r="AJ53" s="380"/>
      <c r="AK53" s="380"/>
      <c r="AL53" s="380"/>
      <c r="AM53" s="380"/>
      <c r="AN53" s="380"/>
      <c r="AO53" s="380"/>
      <c r="AP53" s="380"/>
      <c r="AQ53" s="380"/>
      <c r="AR53" s="380"/>
      <c r="AS53" s="381"/>
      <c r="AT53" s="68"/>
    </row>
    <row r="54" spans="2:46" s="40" customFormat="1" ht="9.9499999999999993" customHeight="1" x14ac:dyDescent="0.3">
      <c r="B54" s="63"/>
      <c r="C54" s="448">
        <f>IFERROR(TIME(HOUR(C50) + 1, 0, 0), "")</f>
        <v>0.83333333333333337</v>
      </c>
      <c r="D54" s="449"/>
      <c r="E54" s="411"/>
      <c r="F54" s="412"/>
      <c r="G54" s="415"/>
      <c r="H54" s="416"/>
      <c r="I54" s="401"/>
      <c r="J54" s="401"/>
      <c r="K54" s="401"/>
      <c r="L54" s="401"/>
      <c r="M54" s="66" t="str">
        <f t="shared" si="2"/>
        <v/>
      </c>
      <c r="N54" s="379"/>
      <c r="O54" s="380"/>
      <c r="P54" s="386"/>
      <c r="Q54" s="379"/>
      <c r="R54" s="380"/>
      <c r="S54" s="386"/>
      <c r="T54" s="379"/>
      <c r="U54" s="380"/>
      <c r="V54" s="386"/>
      <c r="W54" s="379"/>
      <c r="X54" s="380"/>
      <c r="Y54" s="386"/>
      <c r="Z54" s="379"/>
      <c r="AA54" s="380"/>
      <c r="AB54" s="380"/>
      <c r="AC54" s="380"/>
      <c r="AD54" s="380"/>
      <c r="AE54" s="380"/>
      <c r="AF54" s="380"/>
      <c r="AG54" s="380"/>
      <c r="AH54" s="380"/>
      <c r="AI54" s="380"/>
      <c r="AJ54" s="380"/>
      <c r="AK54" s="380"/>
      <c r="AL54" s="380"/>
      <c r="AM54" s="380"/>
      <c r="AN54" s="380"/>
      <c r="AO54" s="380"/>
      <c r="AP54" s="380"/>
      <c r="AQ54" s="380"/>
      <c r="AR54" s="380"/>
      <c r="AS54" s="381"/>
      <c r="AT54" s="68"/>
    </row>
    <row r="55" spans="2:46" s="40" customFormat="1" ht="9.9499999999999993" customHeight="1" x14ac:dyDescent="0.3">
      <c r="B55" s="63"/>
      <c r="C55" s="448"/>
      <c r="D55" s="449"/>
      <c r="E55" s="411"/>
      <c r="F55" s="412"/>
      <c r="G55" s="415"/>
      <c r="H55" s="416"/>
      <c r="I55" s="401"/>
      <c r="J55" s="401"/>
      <c r="K55" s="401"/>
      <c r="L55" s="401"/>
      <c r="M55" s="66" t="str">
        <f t="shared" si="2"/>
        <v/>
      </c>
      <c r="N55" s="379"/>
      <c r="O55" s="380"/>
      <c r="P55" s="386"/>
      <c r="Q55" s="379"/>
      <c r="R55" s="380"/>
      <c r="S55" s="386"/>
      <c r="T55" s="379"/>
      <c r="U55" s="380"/>
      <c r="V55" s="386"/>
      <c r="W55" s="379"/>
      <c r="X55" s="380"/>
      <c r="Y55" s="386"/>
      <c r="Z55" s="379"/>
      <c r="AA55" s="380"/>
      <c r="AB55" s="380"/>
      <c r="AC55" s="380"/>
      <c r="AD55" s="380"/>
      <c r="AE55" s="380"/>
      <c r="AF55" s="380"/>
      <c r="AG55" s="380"/>
      <c r="AH55" s="380"/>
      <c r="AI55" s="380"/>
      <c r="AJ55" s="380"/>
      <c r="AK55" s="380"/>
      <c r="AL55" s="380"/>
      <c r="AM55" s="380"/>
      <c r="AN55" s="380"/>
      <c r="AO55" s="380"/>
      <c r="AP55" s="380"/>
      <c r="AQ55" s="380"/>
      <c r="AR55" s="380"/>
      <c r="AS55" s="381"/>
      <c r="AT55" s="68"/>
    </row>
    <row r="56" spans="2:46" s="40" customFormat="1" ht="9.9499999999999993" customHeight="1" x14ac:dyDescent="0.3">
      <c r="B56" s="63"/>
      <c r="C56" s="448"/>
      <c r="D56" s="449"/>
      <c r="E56" s="399"/>
      <c r="F56" s="400"/>
      <c r="G56" s="417"/>
      <c r="H56" s="418"/>
      <c r="I56" s="401"/>
      <c r="J56" s="401"/>
      <c r="K56" s="401"/>
      <c r="L56" s="401"/>
      <c r="M56" s="66" t="str">
        <f t="shared" si="2"/>
        <v/>
      </c>
      <c r="N56" s="379"/>
      <c r="O56" s="380"/>
      <c r="P56" s="386"/>
      <c r="Q56" s="379"/>
      <c r="R56" s="380"/>
      <c r="S56" s="386"/>
      <c r="T56" s="379"/>
      <c r="U56" s="380"/>
      <c r="V56" s="386"/>
      <c r="W56" s="379"/>
      <c r="X56" s="380"/>
      <c r="Y56" s="386"/>
      <c r="Z56" s="379"/>
      <c r="AA56" s="380"/>
      <c r="AB56" s="380"/>
      <c r="AC56" s="380"/>
      <c r="AD56" s="380"/>
      <c r="AE56" s="380"/>
      <c r="AF56" s="380"/>
      <c r="AG56" s="380"/>
      <c r="AH56" s="380"/>
      <c r="AI56" s="380"/>
      <c r="AJ56" s="380"/>
      <c r="AK56" s="380"/>
      <c r="AL56" s="380"/>
      <c r="AM56" s="380"/>
      <c r="AN56" s="380"/>
      <c r="AO56" s="380"/>
      <c r="AP56" s="380"/>
      <c r="AQ56" s="380"/>
      <c r="AR56" s="380"/>
      <c r="AS56" s="381"/>
      <c r="AT56" s="68"/>
    </row>
    <row r="57" spans="2:46" s="40" customFormat="1" ht="9.9499999999999993" customHeight="1" x14ac:dyDescent="0.3">
      <c r="B57" s="60"/>
      <c r="C57" s="448"/>
      <c r="D57" s="449"/>
      <c r="E57" s="393">
        <f ca="1">IFERROR(E48 + E50, "")</f>
        <v>50</v>
      </c>
      <c r="F57" s="394"/>
      <c r="G57" s="397">
        <f>G48+G50</f>
        <v>0</v>
      </c>
      <c r="H57" s="398"/>
      <c r="I57" s="401"/>
      <c r="J57" s="401"/>
      <c r="K57" s="401"/>
      <c r="L57" s="401"/>
      <c r="M57" s="66" t="str">
        <f t="shared" si="2"/>
        <v/>
      </c>
      <c r="N57" s="379"/>
      <c r="O57" s="380"/>
      <c r="P57" s="386"/>
      <c r="Q57" s="379"/>
      <c r="R57" s="380"/>
      <c r="S57" s="386"/>
      <c r="T57" s="379"/>
      <c r="U57" s="380"/>
      <c r="V57" s="386"/>
      <c r="W57" s="379"/>
      <c r="X57" s="380"/>
      <c r="Y57" s="386"/>
      <c r="Z57" s="379"/>
      <c r="AA57" s="380"/>
      <c r="AB57" s="380"/>
      <c r="AC57" s="380"/>
      <c r="AD57" s="380"/>
      <c r="AE57" s="380"/>
      <c r="AF57" s="380"/>
      <c r="AG57" s="380"/>
      <c r="AH57" s="380"/>
      <c r="AI57" s="380"/>
      <c r="AJ57" s="380"/>
      <c r="AK57" s="380"/>
      <c r="AL57" s="380"/>
      <c r="AM57" s="380"/>
      <c r="AN57" s="380"/>
      <c r="AO57" s="380"/>
      <c r="AP57" s="380"/>
      <c r="AQ57" s="380"/>
      <c r="AR57" s="380"/>
      <c r="AS57" s="381"/>
      <c r="AT57" s="68"/>
    </row>
    <row r="58" spans="2:46" s="40" customFormat="1" ht="9.9499999999999993" customHeight="1" x14ac:dyDescent="0.3">
      <c r="B58" s="60"/>
      <c r="C58" s="450"/>
      <c r="D58" s="451"/>
      <c r="E58" s="395"/>
      <c r="F58" s="396"/>
      <c r="G58" s="399"/>
      <c r="H58" s="400"/>
      <c r="I58" s="401"/>
      <c r="J58" s="401"/>
      <c r="K58" s="401">
        <f>IF(Q5 = "X", 20, 0)</f>
        <v>0</v>
      </c>
      <c r="L58" s="401"/>
      <c r="M58" s="113" t="str">
        <f t="shared" si="2"/>
        <v/>
      </c>
      <c r="N58" s="382"/>
      <c r="O58" s="383"/>
      <c r="P58" s="384"/>
      <c r="Q58" s="382"/>
      <c r="R58" s="383"/>
      <c r="S58" s="384"/>
      <c r="T58" s="382" t="str">
        <f>IF($Q$5 = "X", "Break", "")</f>
        <v/>
      </c>
      <c r="U58" s="383"/>
      <c r="V58" s="384"/>
      <c r="W58" s="382"/>
      <c r="X58" s="383"/>
      <c r="Y58" s="384"/>
      <c r="Z58" s="382"/>
      <c r="AA58" s="383"/>
      <c r="AB58" s="383"/>
      <c r="AC58" s="383"/>
      <c r="AD58" s="383"/>
      <c r="AE58" s="383"/>
      <c r="AF58" s="383"/>
      <c r="AG58" s="383"/>
      <c r="AH58" s="383"/>
      <c r="AI58" s="383"/>
      <c r="AJ58" s="383"/>
      <c r="AK58" s="383"/>
      <c r="AL58" s="383"/>
      <c r="AM58" s="383"/>
      <c r="AN58" s="383"/>
      <c r="AO58" s="383"/>
      <c r="AP58" s="383"/>
      <c r="AQ58" s="383"/>
      <c r="AR58" s="383"/>
      <c r="AS58" s="385"/>
      <c r="AT58" s="68"/>
    </row>
    <row r="59" spans="2:46" s="40" customFormat="1" ht="9.9499999999999993" customHeight="1" x14ac:dyDescent="0.3">
      <c r="B59" s="63"/>
      <c r="C59" s="446">
        <f>C54</f>
        <v>0.83333333333333337</v>
      </c>
      <c r="D59" s="447"/>
      <c r="E59" s="397">
        <f ca="1">IFERROR(
  _xlfn.LET(
    _xlpm.time_diff,
    MOD(C63 - C59, 1),
    _xlpm.minutes,
    MINUTE(_xlpm.time_diff),
    _xlpm.pausas,
    SUMIF($T59:$V67, "Pausa", $K59:$L67),
    _xlpm.efficiency,
    (1 - _xlpm.pausas / IF(_xlpm.minutes = 0, 60, _xlpm.minutes)),
    _xlpm.result,
    IF(
       _xlpm.minutes = 0,
       ROUND(60 * 60 / cycle_time_welding * _xlpm.efficiency, 0),
       ROUND(_xlpm.minutes * 60 / cycle_time_welding * _xlpm.efficiency, 0)
      ),
    _xlpm.result
  ),
0)</f>
        <v>11</v>
      </c>
      <c r="F59" s="398"/>
      <c r="G59" s="413"/>
      <c r="H59" s="414"/>
      <c r="I59" s="419"/>
      <c r="J59" s="419"/>
      <c r="K59" s="419">
        <f>IF(Q5 = "X", 10, IF(R5 = "X", 30, IF(S5 = "X", 30, 0)))</f>
        <v>30</v>
      </c>
      <c r="L59" s="419"/>
      <c r="M59" s="112">
        <f t="shared" si="2"/>
        <v>30</v>
      </c>
      <c r="N59" s="387"/>
      <c r="O59" s="388"/>
      <c r="P59" s="389"/>
      <c r="Q59" s="387"/>
      <c r="R59" s="388"/>
      <c r="S59" s="389"/>
      <c r="T59" s="387" t="str">
        <f>IF($Q$5 = "X", "Break", IF($R$5 = "X", "Break", IF($S$5 = "X", "Break", "")))</f>
        <v>Break</v>
      </c>
      <c r="U59" s="388"/>
      <c r="V59" s="389"/>
      <c r="W59" s="387"/>
      <c r="X59" s="388"/>
      <c r="Y59" s="389"/>
      <c r="Z59" s="387"/>
      <c r="AA59" s="388"/>
      <c r="AB59" s="388"/>
      <c r="AC59" s="388"/>
      <c r="AD59" s="388"/>
      <c r="AE59" s="388"/>
      <c r="AF59" s="388"/>
      <c r="AG59" s="388"/>
      <c r="AH59" s="388"/>
      <c r="AI59" s="388"/>
      <c r="AJ59" s="388"/>
      <c r="AK59" s="388"/>
      <c r="AL59" s="388"/>
      <c r="AM59" s="388"/>
      <c r="AN59" s="388"/>
      <c r="AO59" s="388"/>
      <c r="AP59" s="388"/>
      <c r="AQ59" s="388"/>
      <c r="AR59" s="388"/>
      <c r="AS59" s="452"/>
      <c r="AT59" s="68"/>
    </row>
    <row r="60" spans="2:46" s="40" customFormat="1" ht="9.9499999999999993" customHeight="1" x14ac:dyDescent="0.3">
      <c r="B60" s="63"/>
      <c r="C60" s="448"/>
      <c r="D60" s="449"/>
      <c r="E60" s="411"/>
      <c r="F60" s="412"/>
      <c r="G60" s="415"/>
      <c r="H60" s="416"/>
      <c r="I60" s="401"/>
      <c r="J60" s="401"/>
      <c r="K60" s="401"/>
      <c r="L60" s="401"/>
      <c r="M60" s="66" t="str">
        <f t="shared" si="2"/>
        <v/>
      </c>
      <c r="N60" s="379"/>
      <c r="O60" s="380"/>
      <c r="P60" s="386"/>
      <c r="Q60" s="379"/>
      <c r="R60" s="380"/>
      <c r="S60" s="386"/>
      <c r="T60" s="379"/>
      <c r="U60" s="380"/>
      <c r="V60" s="386"/>
      <c r="W60" s="379"/>
      <c r="X60" s="380"/>
      <c r="Y60" s="386"/>
      <c r="Z60" s="379"/>
      <c r="AA60" s="380"/>
      <c r="AB60" s="380"/>
      <c r="AC60" s="380"/>
      <c r="AD60" s="380"/>
      <c r="AE60" s="380"/>
      <c r="AF60" s="380"/>
      <c r="AG60" s="380"/>
      <c r="AH60" s="380"/>
      <c r="AI60" s="380"/>
      <c r="AJ60" s="380"/>
      <c r="AK60" s="380"/>
      <c r="AL60" s="380"/>
      <c r="AM60" s="380"/>
      <c r="AN60" s="380"/>
      <c r="AO60" s="380"/>
      <c r="AP60" s="380"/>
      <c r="AQ60" s="380"/>
      <c r="AR60" s="380"/>
      <c r="AS60" s="381"/>
      <c r="AT60" s="68"/>
    </row>
    <row r="61" spans="2:46" s="40" customFormat="1" ht="9.9499999999999993" customHeight="1" x14ac:dyDescent="0.3">
      <c r="B61" s="63"/>
      <c r="C61" s="448"/>
      <c r="D61" s="449"/>
      <c r="E61" s="411"/>
      <c r="F61" s="412"/>
      <c r="G61" s="415"/>
      <c r="H61" s="416"/>
      <c r="I61" s="401"/>
      <c r="J61" s="401"/>
      <c r="K61" s="401"/>
      <c r="L61" s="401"/>
      <c r="M61" s="66" t="str">
        <f t="shared" si="2"/>
        <v/>
      </c>
      <c r="N61" s="379"/>
      <c r="O61" s="380"/>
      <c r="P61" s="386"/>
      <c r="Q61" s="379"/>
      <c r="R61" s="380"/>
      <c r="S61" s="386"/>
      <c r="T61" s="379"/>
      <c r="U61" s="380"/>
      <c r="V61" s="386"/>
      <c r="W61" s="379"/>
      <c r="X61" s="380"/>
      <c r="Y61" s="386"/>
      <c r="Z61" s="379"/>
      <c r="AA61" s="380"/>
      <c r="AB61" s="380"/>
      <c r="AC61" s="380"/>
      <c r="AD61" s="380"/>
      <c r="AE61" s="380"/>
      <c r="AF61" s="380"/>
      <c r="AG61" s="380"/>
      <c r="AH61" s="380"/>
      <c r="AI61" s="380"/>
      <c r="AJ61" s="380"/>
      <c r="AK61" s="380"/>
      <c r="AL61" s="380"/>
      <c r="AM61" s="380"/>
      <c r="AN61" s="380"/>
      <c r="AO61" s="380"/>
      <c r="AP61" s="380"/>
      <c r="AQ61" s="380"/>
      <c r="AR61" s="380"/>
      <c r="AS61" s="381"/>
      <c r="AT61" s="68"/>
    </row>
    <row r="62" spans="2:46" s="40" customFormat="1" ht="9.9499999999999993" customHeight="1" x14ac:dyDescent="0.3">
      <c r="B62" s="63"/>
      <c r="C62" s="448"/>
      <c r="D62" s="449"/>
      <c r="E62" s="411"/>
      <c r="F62" s="412"/>
      <c r="G62" s="415"/>
      <c r="H62" s="416"/>
      <c r="I62" s="401"/>
      <c r="J62" s="401"/>
      <c r="K62" s="401"/>
      <c r="L62" s="401"/>
      <c r="M62" s="66" t="str">
        <f t="shared" si="2"/>
        <v/>
      </c>
      <c r="N62" s="379"/>
      <c r="O62" s="380"/>
      <c r="P62" s="386"/>
      <c r="Q62" s="379"/>
      <c r="R62" s="380"/>
      <c r="S62" s="386"/>
      <c r="T62" s="379"/>
      <c r="U62" s="380"/>
      <c r="V62" s="386"/>
      <c r="W62" s="379"/>
      <c r="X62" s="380"/>
      <c r="Y62" s="386"/>
      <c r="Z62" s="379"/>
      <c r="AA62" s="380"/>
      <c r="AB62" s="380"/>
      <c r="AC62" s="380"/>
      <c r="AD62" s="380"/>
      <c r="AE62" s="380"/>
      <c r="AF62" s="380"/>
      <c r="AG62" s="380"/>
      <c r="AH62" s="380"/>
      <c r="AI62" s="380"/>
      <c r="AJ62" s="380"/>
      <c r="AK62" s="380"/>
      <c r="AL62" s="380"/>
      <c r="AM62" s="380"/>
      <c r="AN62" s="380"/>
      <c r="AO62" s="380"/>
      <c r="AP62" s="380"/>
      <c r="AQ62" s="380"/>
      <c r="AR62" s="380"/>
      <c r="AS62" s="381"/>
      <c r="AT62" s="68"/>
    </row>
    <row r="63" spans="2:46" s="40" customFormat="1" ht="9.9499999999999993" customHeight="1" x14ac:dyDescent="0.3">
      <c r="B63" s="63"/>
      <c r="C63" s="448">
        <f>IFERROR(TIME(HOUR(C59) + 1, 0, 0), "")</f>
        <v>0.875</v>
      </c>
      <c r="D63" s="449"/>
      <c r="E63" s="411"/>
      <c r="F63" s="412"/>
      <c r="G63" s="415"/>
      <c r="H63" s="416"/>
      <c r="I63" s="401"/>
      <c r="J63" s="401"/>
      <c r="K63" s="401"/>
      <c r="L63" s="401"/>
      <c r="M63" s="66" t="str">
        <f t="shared" si="2"/>
        <v/>
      </c>
      <c r="N63" s="379"/>
      <c r="O63" s="380"/>
      <c r="P63" s="386"/>
      <c r="Q63" s="379"/>
      <c r="R63" s="380"/>
      <c r="S63" s="386"/>
      <c r="T63" s="379"/>
      <c r="U63" s="380"/>
      <c r="V63" s="386"/>
      <c r="W63" s="379"/>
      <c r="X63" s="380"/>
      <c r="Y63" s="386"/>
      <c r="Z63" s="379"/>
      <c r="AA63" s="380"/>
      <c r="AB63" s="380"/>
      <c r="AC63" s="380"/>
      <c r="AD63" s="380"/>
      <c r="AE63" s="380"/>
      <c r="AF63" s="380"/>
      <c r="AG63" s="380"/>
      <c r="AH63" s="380"/>
      <c r="AI63" s="380"/>
      <c r="AJ63" s="380"/>
      <c r="AK63" s="380"/>
      <c r="AL63" s="380"/>
      <c r="AM63" s="380"/>
      <c r="AN63" s="380"/>
      <c r="AO63" s="380"/>
      <c r="AP63" s="380"/>
      <c r="AQ63" s="380"/>
      <c r="AR63" s="380"/>
      <c r="AS63" s="381"/>
      <c r="AT63" s="68"/>
    </row>
    <row r="64" spans="2:46" s="40" customFormat="1" ht="9.9499999999999993" customHeight="1" x14ac:dyDescent="0.3">
      <c r="B64" s="63"/>
      <c r="C64" s="448"/>
      <c r="D64" s="449"/>
      <c r="E64" s="411"/>
      <c r="F64" s="412"/>
      <c r="G64" s="415"/>
      <c r="H64" s="416"/>
      <c r="I64" s="401"/>
      <c r="J64" s="401"/>
      <c r="K64" s="401"/>
      <c r="L64" s="401"/>
      <c r="M64" s="66" t="str">
        <f t="shared" si="2"/>
        <v/>
      </c>
      <c r="N64" s="379"/>
      <c r="O64" s="380"/>
      <c r="P64" s="386"/>
      <c r="Q64" s="379"/>
      <c r="R64" s="380"/>
      <c r="S64" s="386"/>
      <c r="T64" s="379"/>
      <c r="U64" s="380"/>
      <c r="V64" s="386"/>
      <c r="W64" s="379"/>
      <c r="X64" s="380"/>
      <c r="Y64" s="386"/>
      <c r="Z64" s="379"/>
      <c r="AA64" s="380"/>
      <c r="AB64" s="380"/>
      <c r="AC64" s="380"/>
      <c r="AD64" s="380"/>
      <c r="AE64" s="380"/>
      <c r="AF64" s="380"/>
      <c r="AG64" s="380"/>
      <c r="AH64" s="380"/>
      <c r="AI64" s="380"/>
      <c r="AJ64" s="380"/>
      <c r="AK64" s="380"/>
      <c r="AL64" s="380"/>
      <c r="AM64" s="380"/>
      <c r="AN64" s="380"/>
      <c r="AO64" s="380"/>
      <c r="AP64" s="380"/>
      <c r="AQ64" s="380"/>
      <c r="AR64" s="380"/>
      <c r="AS64" s="381"/>
      <c r="AT64" s="68"/>
    </row>
    <row r="65" spans="2:47" s="40" customFormat="1" ht="9.9499999999999993" customHeight="1" x14ac:dyDescent="0.3">
      <c r="B65" s="63"/>
      <c r="C65" s="448"/>
      <c r="D65" s="449"/>
      <c r="E65" s="399"/>
      <c r="F65" s="400"/>
      <c r="G65" s="417"/>
      <c r="H65" s="418"/>
      <c r="I65" s="401"/>
      <c r="J65" s="401"/>
      <c r="K65" s="401"/>
      <c r="L65" s="401"/>
      <c r="M65" s="66" t="str">
        <f t="shared" si="2"/>
        <v/>
      </c>
      <c r="N65" s="379"/>
      <c r="O65" s="380"/>
      <c r="P65" s="386"/>
      <c r="Q65" s="379"/>
      <c r="R65" s="380"/>
      <c r="S65" s="386"/>
      <c r="T65" s="379"/>
      <c r="U65" s="380"/>
      <c r="V65" s="386"/>
      <c r="W65" s="379"/>
      <c r="X65" s="380"/>
      <c r="Y65" s="386"/>
      <c r="Z65" s="379"/>
      <c r="AA65" s="380"/>
      <c r="AB65" s="380"/>
      <c r="AC65" s="380"/>
      <c r="AD65" s="380"/>
      <c r="AE65" s="380"/>
      <c r="AF65" s="380"/>
      <c r="AG65" s="380"/>
      <c r="AH65" s="380"/>
      <c r="AI65" s="380"/>
      <c r="AJ65" s="380"/>
      <c r="AK65" s="380"/>
      <c r="AL65" s="380"/>
      <c r="AM65" s="380"/>
      <c r="AN65" s="380"/>
      <c r="AO65" s="380"/>
      <c r="AP65" s="380"/>
      <c r="AQ65" s="380"/>
      <c r="AR65" s="380"/>
      <c r="AS65" s="381"/>
      <c r="AT65" s="68"/>
    </row>
    <row r="66" spans="2:47" s="40" customFormat="1" ht="9.9499999999999993" customHeight="1" x14ac:dyDescent="0.3">
      <c r="B66" s="60"/>
      <c r="C66" s="448"/>
      <c r="D66" s="449"/>
      <c r="E66" s="393">
        <f ca="1">IFERROR(E57 + E59, "")</f>
        <v>61</v>
      </c>
      <c r="F66" s="394"/>
      <c r="G66" s="397">
        <f>G57+G59</f>
        <v>0</v>
      </c>
      <c r="H66" s="398"/>
      <c r="I66" s="401"/>
      <c r="J66" s="401"/>
      <c r="K66" s="401"/>
      <c r="L66" s="401"/>
      <c r="M66" s="66" t="str">
        <f t="shared" si="2"/>
        <v/>
      </c>
      <c r="N66" s="379"/>
      <c r="O66" s="380"/>
      <c r="P66" s="386"/>
      <c r="Q66" s="379"/>
      <c r="R66" s="380"/>
      <c r="S66" s="386"/>
      <c r="T66" s="379"/>
      <c r="U66" s="380"/>
      <c r="V66" s="386"/>
      <c r="W66" s="379"/>
      <c r="X66" s="380"/>
      <c r="Y66" s="386"/>
      <c r="Z66" s="379"/>
      <c r="AA66" s="380"/>
      <c r="AB66" s="380"/>
      <c r="AC66" s="380"/>
      <c r="AD66" s="380"/>
      <c r="AE66" s="380"/>
      <c r="AF66" s="380"/>
      <c r="AG66" s="380"/>
      <c r="AH66" s="380"/>
      <c r="AI66" s="380"/>
      <c r="AJ66" s="380"/>
      <c r="AK66" s="380"/>
      <c r="AL66" s="380"/>
      <c r="AM66" s="380"/>
      <c r="AN66" s="380"/>
      <c r="AO66" s="380"/>
      <c r="AP66" s="380"/>
      <c r="AQ66" s="380"/>
      <c r="AR66" s="380"/>
      <c r="AS66" s="381"/>
      <c r="AT66" s="68"/>
    </row>
    <row r="67" spans="2:47" s="40" customFormat="1" ht="9.9499999999999993" customHeight="1" x14ac:dyDescent="0.3">
      <c r="B67" s="60"/>
      <c r="C67" s="450"/>
      <c r="D67" s="451"/>
      <c r="E67" s="395"/>
      <c r="F67" s="396"/>
      <c r="G67" s="399"/>
      <c r="H67" s="400"/>
      <c r="I67" s="401"/>
      <c r="J67" s="401"/>
      <c r="K67" s="401"/>
      <c r="L67" s="401"/>
      <c r="M67" s="67" t="str">
        <f t="shared" si="2"/>
        <v/>
      </c>
      <c r="N67" s="382"/>
      <c r="O67" s="383"/>
      <c r="P67" s="384"/>
      <c r="Q67" s="382"/>
      <c r="R67" s="383"/>
      <c r="S67" s="384"/>
      <c r="T67" s="382"/>
      <c r="U67" s="383"/>
      <c r="V67" s="384"/>
      <c r="W67" s="382"/>
      <c r="X67" s="383"/>
      <c r="Y67" s="384"/>
      <c r="Z67" s="382"/>
      <c r="AA67" s="383"/>
      <c r="AB67" s="383"/>
      <c r="AC67" s="383"/>
      <c r="AD67" s="383"/>
      <c r="AE67" s="383"/>
      <c r="AF67" s="383"/>
      <c r="AG67" s="383"/>
      <c r="AH67" s="383"/>
      <c r="AI67" s="383"/>
      <c r="AJ67" s="383"/>
      <c r="AK67" s="383"/>
      <c r="AL67" s="383"/>
      <c r="AM67" s="383"/>
      <c r="AN67" s="383"/>
      <c r="AO67" s="383"/>
      <c r="AP67" s="383"/>
      <c r="AQ67" s="383"/>
      <c r="AR67" s="383"/>
      <c r="AS67" s="385"/>
      <c r="AT67" s="68"/>
    </row>
    <row r="68" spans="2:47" s="40" customFormat="1" ht="9.9499999999999993" customHeight="1" x14ac:dyDescent="0.3">
      <c r="B68" s="60"/>
      <c r="C68" s="446">
        <f>C63</f>
        <v>0.875</v>
      </c>
      <c r="D68" s="447"/>
      <c r="E68" s="397">
        <f ca="1">IFERROR(
  _xlfn.LET(
    _xlpm.time_diff,
    MOD(C72 - C68, 1),
    _xlpm.minutes,
    MINUTE(_xlpm.time_diff),
    _xlpm.pausas,
    SUMIF($T68:$V76, "Pausa", $K68:$L76),
    _xlpm.efficiency,
    (1 - _xlpm.pausas / IF(_xlpm.minutes = 0, 60, _xlpm.minutes)),
    _xlpm.result,
    IF(
       _xlpm.minutes = 0,
       ROUND(60 * 60 / cycle_time_welding * _xlpm.efficiency, 0),
       ROUND(_xlpm.minutes * 60 / cycle_time_welding * _xlpm.efficiency, 0)
      ),
    _xlpm.result
  ),
0)</f>
        <v>11</v>
      </c>
      <c r="F68" s="398"/>
      <c r="G68" s="413"/>
      <c r="H68" s="414"/>
      <c r="I68" s="419"/>
      <c r="J68" s="419"/>
      <c r="K68" s="419">
        <f>IF(Q5 = "X", 10, 0)</f>
        <v>0</v>
      </c>
      <c r="L68" s="419"/>
      <c r="M68" s="112" t="str">
        <f t="shared" si="2"/>
        <v/>
      </c>
      <c r="N68" s="387"/>
      <c r="O68" s="388"/>
      <c r="P68" s="389"/>
      <c r="Q68" s="387"/>
      <c r="R68" s="388"/>
      <c r="S68" s="389"/>
      <c r="T68" s="387" t="str">
        <f>IF($Q$5 = "X", "Break", "")</f>
        <v/>
      </c>
      <c r="U68" s="388"/>
      <c r="V68" s="389"/>
      <c r="W68" s="387"/>
      <c r="X68" s="388"/>
      <c r="Y68" s="389"/>
      <c r="Z68" s="387"/>
      <c r="AA68" s="388"/>
      <c r="AB68" s="388"/>
      <c r="AC68" s="388"/>
      <c r="AD68" s="388"/>
      <c r="AE68" s="388"/>
      <c r="AF68" s="388"/>
      <c r="AG68" s="388"/>
      <c r="AH68" s="388"/>
      <c r="AI68" s="388"/>
      <c r="AJ68" s="388"/>
      <c r="AK68" s="388"/>
      <c r="AL68" s="388"/>
      <c r="AM68" s="388"/>
      <c r="AN68" s="388"/>
      <c r="AO68" s="388"/>
      <c r="AP68" s="388"/>
      <c r="AQ68" s="388"/>
      <c r="AR68" s="388"/>
      <c r="AS68" s="452"/>
      <c r="AT68" s="68"/>
    </row>
    <row r="69" spans="2:47" s="40" customFormat="1" ht="9.9499999999999993" customHeight="1" x14ac:dyDescent="0.3">
      <c r="B69" s="60"/>
      <c r="C69" s="448"/>
      <c r="D69" s="449"/>
      <c r="E69" s="411"/>
      <c r="F69" s="412"/>
      <c r="G69" s="415"/>
      <c r="H69" s="416"/>
      <c r="I69" s="401"/>
      <c r="J69" s="401"/>
      <c r="K69" s="401"/>
      <c r="L69" s="401"/>
      <c r="M69" s="66" t="str">
        <f t="shared" si="2"/>
        <v/>
      </c>
      <c r="N69" s="379"/>
      <c r="O69" s="380"/>
      <c r="P69" s="386"/>
      <c r="Q69" s="379"/>
      <c r="R69" s="380"/>
      <c r="S69" s="386"/>
      <c r="T69" s="379"/>
      <c r="U69" s="380"/>
      <c r="V69" s="386"/>
      <c r="W69" s="379"/>
      <c r="X69" s="380"/>
      <c r="Y69" s="386"/>
      <c r="Z69" s="379"/>
      <c r="AA69" s="380"/>
      <c r="AB69" s="380"/>
      <c r="AC69" s="380"/>
      <c r="AD69" s="380"/>
      <c r="AE69" s="380"/>
      <c r="AF69" s="380"/>
      <c r="AG69" s="380"/>
      <c r="AH69" s="380"/>
      <c r="AI69" s="380"/>
      <c r="AJ69" s="380"/>
      <c r="AK69" s="380"/>
      <c r="AL69" s="380"/>
      <c r="AM69" s="380"/>
      <c r="AN69" s="380"/>
      <c r="AO69" s="380"/>
      <c r="AP69" s="380"/>
      <c r="AQ69" s="380"/>
      <c r="AR69" s="380"/>
      <c r="AS69" s="381"/>
      <c r="AT69" s="68"/>
    </row>
    <row r="70" spans="2:47" s="40" customFormat="1" ht="9.9499999999999993" customHeight="1" x14ac:dyDescent="0.3">
      <c r="B70" s="60"/>
      <c r="C70" s="448"/>
      <c r="D70" s="449"/>
      <c r="E70" s="411"/>
      <c r="F70" s="412"/>
      <c r="G70" s="415"/>
      <c r="H70" s="416"/>
      <c r="I70" s="401"/>
      <c r="J70" s="401"/>
      <c r="K70" s="401"/>
      <c r="L70" s="401"/>
      <c r="M70" s="66" t="str">
        <f t="shared" si="2"/>
        <v/>
      </c>
      <c r="N70" s="379"/>
      <c r="O70" s="380"/>
      <c r="P70" s="386"/>
      <c r="Q70" s="379"/>
      <c r="R70" s="380"/>
      <c r="S70" s="386"/>
      <c r="T70" s="379"/>
      <c r="U70" s="380"/>
      <c r="V70" s="386"/>
      <c r="W70" s="379"/>
      <c r="X70" s="380"/>
      <c r="Y70" s="386"/>
      <c r="Z70" s="379"/>
      <c r="AA70" s="380"/>
      <c r="AB70" s="380"/>
      <c r="AC70" s="380"/>
      <c r="AD70" s="380"/>
      <c r="AE70" s="380"/>
      <c r="AF70" s="380"/>
      <c r="AG70" s="380"/>
      <c r="AH70" s="380"/>
      <c r="AI70" s="380"/>
      <c r="AJ70" s="380"/>
      <c r="AK70" s="380"/>
      <c r="AL70" s="380"/>
      <c r="AM70" s="380"/>
      <c r="AN70" s="380"/>
      <c r="AO70" s="380"/>
      <c r="AP70" s="380"/>
      <c r="AQ70" s="380"/>
      <c r="AR70" s="380"/>
      <c r="AS70" s="381"/>
      <c r="AT70" s="68"/>
    </row>
    <row r="71" spans="2:47" s="40" customFormat="1" ht="9.9499999999999993" customHeight="1" x14ac:dyDescent="0.3">
      <c r="B71" s="60"/>
      <c r="C71" s="448"/>
      <c r="D71" s="449"/>
      <c r="E71" s="411"/>
      <c r="F71" s="412"/>
      <c r="G71" s="415"/>
      <c r="H71" s="416"/>
      <c r="I71" s="401"/>
      <c r="J71" s="401"/>
      <c r="K71" s="401"/>
      <c r="L71" s="401"/>
      <c r="M71" s="66" t="str">
        <f t="shared" si="2"/>
        <v/>
      </c>
      <c r="N71" s="379"/>
      <c r="O71" s="380"/>
      <c r="P71" s="386"/>
      <c r="Q71" s="379"/>
      <c r="R71" s="380"/>
      <c r="S71" s="386"/>
      <c r="T71" s="379"/>
      <c r="U71" s="380"/>
      <c r="V71" s="386"/>
      <c r="W71" s="379"/>
      <c r="X71" s="380"/>
      <c r="Y71" s="386"/>
      <c r="Z71" s="379"/>
      <c r="AA71" s="380"/>
      <c r="AB71" s="380"/>
      <c r="AC71" s="380"/>
      <c r="AD71" s="380"/>
      <c r="AE71" s="380"/>
      <c r="AF71" s="380"/>
      <c r="AG71" s="380"/>
      <c r="AH71" s="380"/>
      <c r="AI71" s="380"/>
      <c r="AJ71" s="380"/>
      <c r="AK71" s="380"/>
      <c r="AL71" s="380"/>
      <c r="AM71" s="380"/>
      <c r="AN71" s="380"/>
      <c r="AO71" s="380"/>
      <c r="AP71" s="380"/>
      <c r="AQ71" s="380"/>
      <c r="AR71" s="380"/>
      <c r="AS71" s="381"/>
      <c r="AT71" s="68"/>
    </row>
    <row r="72" spans="2:47" s="40" customFormat="1" ht="9.9499999999999993" customHeight="1" x14ac:dyDescent="0.3">
      <c r="B72" s="60"/>
      <c r="C72" s="448">
        <f>IFERROR(TIME(HOUR(C68) + 1, 0, 0), "")</f>
        <v>0.91666666666666663</v>
      </c>
      <c r="D72" s="449"/>
      <c r="E72" s="411"/>
      <c r="F72" s="412"/>
      <c r="G72" s="415"/>
      <c r="H72" s="416"/>
      <c r="I72" s="401"/>
      <c r="J72" s="401"/>
      <c r="K72" s="401"/>
      <c r="L72" s="401"/>
      <c r="M72" s="66" t="str">
        <f t="shared" si="2"/>
        <v/>
      </c>
      <c r="N72" s="379"/>
      <c r="O72" s="380"/>
      <c r="P72" s="386"/>
      <c r="Q72" s="379"/>
      <c r="R72" s="380"/>
      <c r="S72" s="386"/>
      <c r="T72" s="379"/>
      <c r="U72" s="380"/>
      <c r="V72" s="386"/>
      <c r="W72" s="379"/>
      <c r="X72" s="380"/>
      <c r="Y72" s="386"/>
      <c r="Z72" s="379"/>
      <c r="AA72" s="380"/>
      <c r="AB72" s="380"/>
      <c r="AC72" s="380"/>
      <c r="AD72" s="380"/>
      <c r="AE72" s="380"/>
      <c r="AF72" s="380"/>
      <c r="AG72" s="380"/>
      <c r="AH72" s="380"/>
      <c r="AI72" s="380"/>
      <c r="AJ72" s="380"/>
      <c r="AK72" s="380"/>
      <c r="AL72" s="380"/>
      <c r="AM72" s="380"/>
      <c r="AN72" s="380"/>
      <c r="AO72" s="380"/>
      <c r="AP72" s="380"/>
      <c r="AQ72" s="380"/>
      <c r="AR72" s="380"/>
      <c r="AS72" s="381"/>
      <c r="AT72" s="68"/>
    </row>
    <row r="73" spans="2:47" s="40" customFormat="1" ht="9.9499999999999993" customHeight="1" x14ac:dyDescent="0.3">
      <c r="B73" s="60"/>
      <c r="C73" s="448"/>
      <c r="D73" s="449"/>
      <c r="E73" s="411"/>
      <c r="F73" s="412"/>
      <c r="G73" s="415"/>
      <c r="H73" s="416"/>
      <c r="I73" s="401"/>
      <c r="J73" s="401"/>
      <c r="K73" s="401"/>
      <c r="L73" s="401"/>
      <c r="M73" s="66" t="str">
        <f t="shared" si="2"/>
        <v/>
      </c>
      <c r="N73" s="379"/>
      <c r="O73" s="380"/>
      <c r="P73" s="386"/>
      <c r="Q73" s="379"/>
      <c r="R73" s="380"/>
      <c r="S73" s="386"/>
      <c r="T73" s="379"/>
      <c r="U73" s="380"/>
      <c r="V73" s="386"/>
      <c r="W73" s="379"/>
      <c r="X73" s="380"/>
      <c r="Y73" s="386"/>
      <c r="Z73" s="379"/>
      <c r="AA73" s="380"/>
      <c r="AB73" s="380"/>
      <c r="AC73" s="380"/>
      <c r="AD73" s="380"/>
      <c r="AE73" s="380"/>
      <c r="AF73" s="380"/>
      <c r="AG73" s="380"/>
      <c r="AH73" s="380"/>
      <c r="AI73" s="380"/>
      <c r="AJ73" s="380"/>
      <c r="AK73" s="380"/>
      <c r="AL73" s="380"/>
      <c r="AM73" s="380"/>
      <c r="AN73" s="380"/>
      <c r="AO73" s="380"/>
      <c r="AP73" s="380"/>
      <c r="AQ73" s="380"/>
      <c r="AR73" s="380"/>
      <c r="AS73" s="381"/>
      <c r="AT73" s="68"/>
    </row>
    <row r="74" spans="2:47" s="40" customFormat="1" ht="9.9499999999999993" customHeight="1" x14ac:dyDescent="0.3">
      <c r="B74" s="60"/>
      <c r="C74" s="448"/>
      <c r="D74" s="449"/>
      <c r="E74" s="399"/>
      <c r="F74" s="400"/>
      <c r="G74" s="417"/>
      <c r="H74" s="418"/>
      <c r="I74" s="401"/>
      <c r="J74" s="401"/>
      <c r="K74" s="401"/>
      <c r="L74" s="401"/>
      <c r="M74" s="66" t="str">
        <f t="shared" si="2"/>
        <v/>
      </c>
      <c r="N74" s="379"/>
      <c r="O74" s="380"/>
      <c r="P74" s="386"/>
      <c r="Q74" s="379"/>
      <c r="R74" s="380"/>
      <c r="S74" s="386"/>
      <c r="T74" s="379"/>
      <c r="U74" s="380"/>
      <c r="V74" s="386"/>
      <c r="W74" s="379"/>
      <c r="X74" s="380"/>
      <c r="Y74" s="386"/>
      <c r="Z74" s="379"/>
      <c r="AA74" s="380"/>
      <c r="AB74" s="380"/>
      <c r="AC74" s="380"/>
      <c r="AD74" s="380"/>
      <c r="AE74" s="380"/>
      <c r="AF74" s="380"/>
      <c r="AG74" s="380"/>
      <c r="AH74" s="380"/>
      <c r="AI74" s="380"/>
      <c r="AJ74" s="380"/>
      <c r="AK74" s="380"/>
      <c r="AL74" s="380"/>
      <c r="AM74" s="380"/>
      <c r="AN74" s="380"/>
      <c r="AO74" s="380"/>
      <c r="AP74" s="380"/>
      <c r="AQ74" s="380"/>
      <c r="AR74" s="380"/>
      <c r="AS74" s="381"/>
      <c r="AT74" s="68"/>
    </row>
    <row r="75" spans="2:47" s="40" customFormat="1" ht="9.9499999999999993" customHeight="1" x14ac:dyDescent="0.3">
      <c r="B75" s="60"/>
      <c r="C75" s="448"/>
      <c r="D75" s="449"/>
      <c r="E75" s="393">
        <f ca="1">IFERROR(E66 + E68, "")</f>
        <v>72</v>
      </c>
      <c r="F75" s="394"/>
      <c r="G75" s="397">
        <f>G66+G68</f>
        <v>0</v>
      </c>
      <c r="H75" s="398"/>
      <c r="I75" s="401"/>
      <c r="J75" s="401"/>
      <c r="K75" s="401"/>
      <c r="L75" s="401"/>
      <c r="M75" s="66" t="str">
        <f t="shared" si="2"/>
        <v/>
      </c>
      <c r="N75" s="379"/>
      <c r="O75" s="380"/>
      <c r="P75" s="386"/>
      <c r="Q75" s="379"/>
      <c r="R75" s="380"/>
      <c r="S75" s="386"/>
      <c r="T75" s="379"/>
      <c r="U75" s="380"/>
      <c r="V75" s="386"/>
      <c r="W75" s="379"/>
      <c r="X75" s="380"/>
      <c r="Y75" s="386"/>
      <c r="Z75" s="379"/>
      <c r="AA75" s="380"/>
      <c r="AB75" s="380"/>
      <c r="AC75" s="380"/>
      <c r="AD75" s="380"/>
      <c r="AE75" s="380"/>
      <c r="AF75" s="380"/>
      <c r="AG75" s="380"/>
      <c r="AH75" s="380"/>
      <c r="AI75" s="380"/>
      <c r="AJ75" s="380"/>
      <c r="AK75" s="380"/>
      <c r="AL75" s="380"/>
      <c r="AM75" s="380"/>
      <c r="AN75" s="380"/>
      <c r="AO75" s="380"/>
      <c r="AP75" s="380"/>
      <c r="AQ75" s="380"/>
      <c r="AR75" s="380"/>
      <c r="AS75" s="381"/>
      <c r="AT75" s="68"/>
    </row>
    <row r="76" spans="2:47" s="40" customFormat="1" ht="9.9499999999999993" customHeight="1" x14ac:dyDescent="0.3">
      <c r="B76" s="60"/>
      <c r="C76" s="450"/>
      <c r="D76" s="451"/>
      <c r="E76" s="395"/>
      <c r="F76" s="396"/>
      <c r="G76" s="399"/>
      <c r="H76" s="400"/>
      <c r="I76" s="401"/>
      <c r="J76" s="401"/>
      <c r="K76" s="401"/>
      <c r="L76" s="401"/>
      <c r="M76" s="67" t="str">
        <f t="shared" si="2"/>
        <v/>
      </c>
      <c r="N76" s="382"/>
      <c r="O76" s="383"/>
      <c r="P76" s="384"/>
      <c r="Q76" s="382"/>
      <c r="R76" s="383"/>
      <c r="S76" s="384"/>
      <c r="T76" s="382"/>
      <c r="U76" s="383"/>
      <c r="V76" s="384"/>
      <c r="W76" s="382"/>
      <c r="X76" s="383"/>
      <c r="Y76" s="384"/>
      <c r="Z76" s="382"/>
      <c r="AA76" s="383"/>
      <c r="AB76" s="383"/>
      <c r="AC76" s="383"/>
      <c r="AD76" s="383"/>
      <c r="AE76" s="383"/>
      <c r="AF76" s="383"/>
      <c r="AG76" s="383"/>
      <c r="AH76" s="383"/>
      <c r="AI76" s="383"/>
      <c r="AJ76" s="383"/>
      <c r="AK76" s="383"/>
      <c r="AL76" s="383"/>
      <c r="AM76" s="383"/>
      <c r="AN76" s="383"/>
      <c r="AO76" s="383"/>
      <c r="AP76" s="383"/>
      <c r="AQ76" s="383"/>
      <c r="AR76" s="383"/>
      <c r="AS76" s="385"/>
      <c r="AT76" s="48"/>
    </row>
    <row r="77" spans="2:47" s="40" customFormat="1" ht="9.9499999999999993" customHeight="1" x14ac:dyDescent="0.3">
      <c r="B77" s="60"/>
      <c r="C77" s="446">
        <f>C72</f>
        <v>0.91666666666666663</v>
      </c>
      <c r="D77" s="447"/>
      <c r="E77" s="397">
        <f ca="1">IFERROR(
  _xlfn.LET(
    _xlpm.time_diff,
    MOD(C81 - C77, 1),
    _xlpm.minutes,
    MINUTE(_xlpm.time_diff),
    _xlpm.pausas,
    SUMIF($T77:$V85, "Pausa", $K77:$L85),
    _xlpm.efficiency,
    (1 - _xlpm.pausas / IF(_xlpm.minutes = 0, 60, _xlpm.minutes)),
    _xlpm.result,
    IF(
       _xlpm.minutes = 0,
       ROUND(60 * 60 / cycle_time_welding * _xlpm.efficiency, 0),
       ROUND(_xlpm.minutes * 60 / cycle_time_welding * _xlpm.efficiency, 0)
      ),
    _xlpm.result
  ),
0)</f>
        <v>11</v>
      </c>
      <c r="F77" s="398"/>
      <c r="G77" s="413"/>
      <c r="H77" s="414"/>
      <c r="I77" s="419"/>
      <c r="J77" s="419"/>
      <c r="K77" s="419">
        <f>IF(OR(R5 = "X", S5 = "X"), 10, 0)</f>
        <v>10</v>
      </c>
      <c r="L77" s="419"/>
      <c r="M77" s="112">
        <f t="shared" si="2"/>
        <v>10</v>
      </c>
      <c r="N77" s="387"/>
      <c r="O77" s="388"/>
      <c r="P77" s="389"/>
      <c r="Q77" s="387"/>
      <c r="R77" s="388"/>
      <c r="S77" s="389"/>
      <c r="T77" s="387" t="str">
        <f>IF($Q$5 = "X", "Break", IF($R$5 = "X", "Break", IF($S$5 = "X", "Break", "")))</f>
        <v>Break</v>
      </c>
      <c r="U77" s="388"/>
      <c r="V77" s="389"/>
      <c r="W77" s="387"/>
      <c r="X77" s="388"/>
      <c r="Y77" s="389"/>
      <c r="Z77" s="387"/>
      <c r="AA77" s="388"/>
      <c r="AB77" s="388"/>
      <c r="AC77" s="388"/>
      <c r="AD77" s="388"/>
      <c r="AE77" s="388"/>
      <c r="AF77" s="388"/>
      <c r="AG77" s="388"/>
      <c r="AH77" s="388"/>
      <c r="AI77" s="388"/>
      <c r="AJ77" s="388"/>
      <c r="AK77" s="388"/>
      <c r="AL77" s="388"/>
      <c r="AM77" s="388"/>
      <c r="AN77" s="388"/>
      <c r="AO77" s="388"/>
      <c r="AP77" s="388"/>
      <c r="AQ77" s="388"/>
      <c r="AR77" s="388"/>
      <c r="AS77" s="452"/>
      <c r="AT77" s="68"/>
    </row>
    <row r="78" spans="2:47" s="40" customFormat="1" ht="9.9499999999999993" customHeight="1" x14ac:dyDescent="0.3">
      <c r="B78" s="60"/>
      <c r="C78" s="448"/>
      <c r="D78" s="449"/>
      <c r="E78" s="411"/>
      <c r="F78" s="412"/>
      <c r="G78" s="415"/>
      <c r="H78" s="416"/>
      <c r="I78" s="401"/>
      <c r="J78" s="401"/>
      <c r="K78" s="401"/>
      <c r="L78" s="401"/>
      <c r="M78" s="66" t="str">
        <f t="shared" ref="M78:M94" si="3">IF(K78+I78=0,"",K78+I78)</f>
        <v/>
      </c>
      <c r="N78" s="379"/>
      <c r="O78" s="380"/>
      <c r="P78" s="386"/>
      <c r="Q78" s="379"/>
      <c r="R78" s="380"/>
      <c r="S78" s="386"/>
      <c r="T78" s="379"/>
      <c r="U78" s="380"/>
      <c r="V78" s="386"/>
      <c r="W78" s="379"/>
      <c r="X78" s="380"/>
      <c r="Y78" s="386"/>
      <c r="Z78" s="379"/>
      <c r="AA78" s="380"/>
      <c r="AB78" s="380"/>
      <c r="AC78" s="380"/>
      <c r="AD78" s="380"/>
      <c r="AE78" s="380"/>
      <c r="AF78" s="380"/>
      <c r="AG78" s="380"/>
      <c r="AH78" s="380"/>
      <c r="AI78" s="380"/>
      <c r="AJ78" s="380"/>
      <c r="AK78" s="380"/>
      <c r="AL78" s="380"/>
      <c r="AM78" s="380"/>
      <c r="AN78" s="380"/>
      <c r="AO78" s="380"/>
      <c r="AP78" s="380"/>
      <c r="AQ78" s="380"/>
      <c r="AR78" s="380"/>
      <c r="AS78" s="381"/>
      <c r="AT78" s="68"/>
      <c r="AU78" s="61"/>
    </row>
    <row r="79" spans="2:47" s="40" customFormat="1" ht="9.9499999999999993" customHeight="1" x14ac:dyDescent="0.3">
      <c r="B79" s="60"/>
      <c r="C79" s="448"/>
      <c r="D79" s="449"/>
      <c r="E79" s="411"/>
      <c r="F79" s="412"/>
      <c r="G79" s="415"/>
      <c r="H79" s="416"/>
      <c r="I79" s="401"/>
      <c r="J79" s="401"/>
      <c r="K79" s="401"/>
      <c r="L79" s="401"/>
      <c r="M79" s="66" t="str">
        <f t="shared" si="3"/>
        <v/>
      </c>
      <c r="N79" s="379"/>
      <c r="O79" s="380"/>
      <c r="P79" s="386"/>
      <c r="Q79" s="379"/>
      <c r="R79" s="380"/>
      <c r="S79" s="386"/>
      <c r="T79" s="379"/>
      <c r="U79" s="380"/>
      <c r="V79" s="386"/>
      <c r="W79" s="379"/>
      <c r="X79" s="380"/>
      <c r="Y79" s="386"/>
      <c r="Z79" s="379"/>
      <c r="AA79" s="380"/>
      <c r="AB79" s="380"/>
      <c r="AC79" s="380"/>
      <c r="AD79" s="380"/>
      <c r="AE79" s="380"/>
      <c r="AF79" s="380"/>
      <c r="AG79" s="380"/>
      <c r="AH79" s="380"/>
      <c r="AI79" s="380"/>
      <c r="AJ79" s="380"/>
      <c r="AK79" s="380"/>
      <c r="AL79" s="380"/>
      <c r="AM79" s="380"/>
      <c r="AN79" s="380"/>
      <c r="AO79" s="380"/>
      <c r="AP79" s="380"/>
      <c r="AQ79" s="380"/>
      <c r="AR79" s="380"/>
      <c r="AS79" s="381"/>
      <c r="AT79" s="68"/>
    </row>
    <row r="80" spans="2:47" s="40" customFormat="1" ht="9.9499999999999993" customHeight="1" x14ac:dyDescent="0.3">
      <c r="B80" s="60"/>
      <c r="C80" s="448"/>
      <c r="D80" s="449"/>
      <c r="E80" s="411"/>
      <c r="F80" s="412"/>
      <c r="G80" s="415"/>
      <c r="H80" s="416"/>
      <c r="I80" s="401"/>
      <c r="J80" s="401"/>
      <c r="K80" s="401"/>
      <c r="L80" s="401"/>
      <c r="M80" s="66" t="str">
        <f t="shared" si="3"/>
        <v/>
      </c>
      <c r="N80" s="379"/>
      <c r="O80" s="380"/>
      <c r="P80" s="386"/>
      <c r="Q80" s="379"/>
      <c r="R80" s="380"/>
      <c r="S80" s="386"/>
      <c r="T80" s="379"/>
      <c r="U80" s="380"/>
      <c r="V80" s="386"/>
      <c r="W80" s="379"/>
      <c r="X80" s="380"/>
      <c r="Y80" s="386"/>
      <c r="Z80" s="379"/>
      <c r="AA80" s="380"/>
      <c r="AB80" s="380"/>
      <c r="AC80" s="380"/>
      <c r="AD80" s="380"/>
      <c r="AE80" s="380"/>
      <c r="AF80" s="380"/>
      <c r="AG80" s="380"/>
      <c r="AH80" s="380"/>
      <c r="AI80" s="380"/>
      <c r="AJ80" s="380"/>
      <c r="AK80" s="380"/>
      <c r="AL80" s="380"/>
      <c r="AM80" s="380"/>
      <c r="AN80" s="380"/>
      <c r="AO80" s="380"/>
      <c r="AP80" s="380"/>
      <c r="AQ80" s="380"/>
      <c r="AR80" s="380"/>
      <c r="AS80" s="381"/>
      <c r="AT80" s="68"/>
    </row>
    <row r="81" spans="2:54" s="40" customFormat="1" ht="9.9499999999999993" customHeight="1" x14ac:dyDescent="0.3">
      <c r="B81" s="60"/>
      <c r="C81" s="448">
        <f>IFERROR(
  IF(
    HOUR(C77)=7,
    TIME(7,10,0),
    TIME(HOUR(C77)+1,MINUTE(C77),0)
  ),
"")</f>
        <v>0.95833333333333337</v>
      </c>
      <c r="D81" s="449"/>
      <c r="E81" s="411"/>
      <c r="F81" s="412"/>
      <c r="G81" s="415"/>
      <c r="H81" s="416"/>
      <c r="I81" s="401"/>
      <c r="J81" s="401"/>
      <c r="K81" s="401"/>
      <c r="L81" s="401"/>
      <c r="M81" s="66" t="str">
        <f t="shared" si="3"/>
        <v/>
      </c>
      <c r="N81" s="379"/>
      <c r="O81" s="380"/>
      <c r="P81" s="386"/>
      <c r="Q81" s="379"/>
      <c r="R81" s="380"/>
      <c r="S81" s="386"/>
      <c r="T81" s="379"/>
      <c r="U81" s="380"/>
      <c r="V81" s="386"/>
      <c r="W81" s="379"/>
      <c r="X81" s="380"/>
      <c r="Y81" s="386"/>
      <c r="Z81" s="379"/>
      <c r="AA81" s="380"/>
      <c r="AB81" s="380"/>
      <c r="AC81" s="380"/>
      <c r="AD81" s="380"/>
      <c r="AE81" s="380"/>
      <c r="AF81" s="380"/>
      <c r="AG81" s="380"/>
      <c r="AH81" s="380"/>
      <c r="AI81" s="380"/>
      <c r="AJ81" s="380"/>
      <c r="AK81" s="380"/>
      <c r="AL81" s="380"/>
      <c r="AM81" s="380"/>
      <c r="AN81" s="380"/>
      <c r="AO81" s="380"/>
      <c r="AP81" s="380"/>
      <c r="AQ81" s="380"/>
      <c r="AR81" s="380"/>
      <c r="AS81" s="381"/>
      <c r="AT81" s="68"/>
    </row>
    <row r="82" spans="2:54" s="40" customFormat="1" ht="9.9499999999999993" customHeight="1" x14ac:dyDescent="0.3">
      <c r="B82" s="60"/>
      <c r="C82" s="448"/>
      <c r="D82" s="449"/>
      <c r="E82" s="411"/>
      <c r="F82" s="412"/>
      <c r="G82" s="415"/>
      <c r="H82" s="416"/>
      <c r="I82" s="401"/>
      <c r="J82" s="401"/>
      <c r="K82" s="401"/>
      <c r="L82" s="401"/>
      <c r="M82" s="66" t="str">
        <f t="shared" si="3"/>
        <v/>
      </c>
      <c r="N82" s="379"/>
      <c r="O82" s="380"/>
      <c r="P82" s="386"/>
      <c r="Q82" s="379"/>
      <c r="R82" s="380"/>
      <c r="S82" s="386"/>
      <c r="T82" s="379"/>
      <c r="U82" s="380"/>
      <c r="V82" s="386"/>
      <c r="W82" s="379"/>
      <c r="X82" s="380"/>
      <c r="Y82" s="386"/>
      <c r="Z82" s="379"/>
      <c r="AA82" s="380"/>
      <c r="AB82" s="380"/>
      <c r="AC82" s="380"/>
      <c r="AD82" s="380"/>
      <c r="AE82" s="380"/>
      <c r="AF82" s="380"/>
      <c r="AG82" s="380"/>
      <c r="AH82" s="380"/>
      <c r="AI82" s="380"/>
      <c r="AJ82" s="380"/>
      <c r="AK82" s="380"/>
      <c r="AL82" s="380"/>
      <c r="AM82" s="380"/>
      <c r="AN82" s="380"/>
      <c r="AO82" s="380"/>
      <c r="AP82" s="380"/>
      <c r="AQ82" s="380"/>
      <c r="AR82" s="380"/>
      <c r="AS82" s="381"/>
      <c r="AT82" s="68"/>
    </row>
    <row r="83" spans="2:54" s="40" customFormat="1" ht="9.9499999999999993" customHeight="1" x14ac:dyDescent="0.3">
      <c r="B83" s="60"/>
      <c r="C83" s="448"/>
      <c r="D83" s="449"/>
      <c r="E83" s="399"/>
      <c r="F83" s="400"/>
      <c r="G83" s="417"/>
      <c r="H83" s="418"/>
      <c r="I83" s="401"/>
      <c r="J83" s="401"/>
      <c r="K83" s="401"/>
      <c r="L83" s="401"/>
      <c r="M83" s="66" t="str">
        <f t="shared" si="3"/>
        <v/>
      </c>
      <c r="N83" s="379"/>
      <c r="O83" s="380"/>
      <c r="P83" s="386"/>
      <c r="Q83" s="379"/>
      <c r="R83" s="380"/>
      <c r="S83" s="386"/>
      <c r="T83" s="379"/>
      <c r="U83" s="380"/>
      <c r="V83" s="386"/>
      <c r="W83" s="379"/>
      <c r="X83" s="380"/>
      <c r="Y83" s="386"/>
      <c r="Z83" s="379"/>
      <c r="AA83" s="380"/>
      <c r="AB83" s="380"/>
      <c r="AC83" s="380"/>
      <c r="AD83" s="380"/>
      <c r="AE83" s="380"/>
      <c r="AF83" s="380"/>
      <c r="AG83" s="380"/>
      <c r="AH83" s="380"/>
      <c r="AI83" s="380"/>
      <c r="AJ83" s="380"/>
      <c r="AK83" s="380"/>
      <c r="AL83" s="380"/>
      <c r="AM83" s="380"/>
      <c r="AN83" s="380"/>
      <c r="AO83" s="380"/>
      <c r="AP83" s="380"/>
      <c r="AQ83" s="380"/>
      <c r="AR83" s="380"/>
      <c r="AS83" s="381"/>
      <c r="AT83" s="68"/>
    </row>
    <row r="84" spans="2:54" s="40" customFormat="1" ht="9.9499999999999993" customHeight="1" x14ac:dyDescent="0.3">
      <c r="B84" s="60"/>
      <c r="C84" s="448"/>
      <c r="D84" s="449"/>
      <c r="E84" s="393">
        <f ca="1">IFERROR(E75 + E77, "")</f>
        <v>83</v>
      </c>
      <c r="F84" s="394"/>
      <c r="G84" s="397">
        <f>G75+G77</f>
        <v>0</v>
      </c>
      <c r="H84" s="398"/>
      <c r="I84" s="401"/>
      <c r="J84" s="401"/>
      <c r="K84" s="401"/>
      <c r="L84" s="401"/>
      <c r="M84" s="66" t="str">
        <f t="shared" si="3"/>
        <v/>
      </c>
      <c r="N84" s="379"/>
      <c r="O84" s="380"/>
      <c r="P84" s="386"/>
      <c r="Q84" s="379"/>
      <c r="R84" s="380"/>
      <c r="S84" s="386"/>
      <c r="T84" s="379"/>
      <c r="U84" s="380"/>
      <c r="V84" s="386"/>
      <c r="W84" s="379"/>
      <c r="X84" s="380"/>
      <c r="Y84" s="386"/>
      <c r="Z84" s="379"/>
      <c r="AA84" s="380"/>
      <c r="AB84" s="380"/>
      <c r="AC84" s="380"/>
      <c r="AD84" s="380"/>
      <c r="AE84" s="380"/>
      <c r="AF84" s="380"/>
      <c r="AG84" s="380"/>
      <c r="AH84" s="380"/>
      <c r="AI84" s="380"/>
      <c r="AJ84" s="380"/>
      <c r="AK84" s="380"/>
      <c r="AL84" s="380"/>
      <c r="AM84" s="380"/>
      <c r="AN84" s="380"/>
      <c r="AO84" s="380"/>
      <c r="AP84" s="380"/>
      <c r="AQ84" s="380"/>
      <c r="AR84" s="380"/>
      <c r="AS84" s="381"/>
      <c r="AT84" s="68"/>
    </row>
    <row r="85" spans="2:54" s="40" customFormat="1" ht="9.9499999999999993" customHeight="1" x14ac:dyDescent="0.4">
      <c r="B85" s="60"/>
      <c r="C85" s="450"/>
      <c r="D85" s="451"/>
      <c r="E85" s="395"/>
      <c r="F85" s="396"/>
      <c r="G85" s="399"/>
      <c r="H85" s="400"/>
      <c r="I85" s="401"/>
      <c r="J85" s="401"/>
      <c r="K85" s="401"/>
      <c r="L85" s="401"/>
      <c r="M85" s="67" t="str">
        <f t="shared" si="3"/>
        <v/>
      </c>
      <c r="N85" s="382"/>
      <c r="O85" s="383"/>
      <c r="P85" s="384"/>
      <c r="Q85" s="382"/>
      <c r="R85" s="383"/>
      <c r="S85" s="384"/>
      <c r="T85" s="382"/>
      <c r="U85" s="383"/>
      <c r="V85" s="384"/>
      <c r="W85" s="382"/>
      <c r="X85" s="383"/>
      <c r="Y85" s="384"/>
      <c r="Z85" s="382"/>
      <c r="AA85" s="383"/>
      <c r="AB85" s="383"/>
      <c r="AC85" s="383"/>
      <c r="AD85" s="383"/>
      <c r="AE85" s="383"/>
      <c r="AF85" s="383"/>
      <c r="AG85" s="383"/>
      <c r="AH85" s="383"/>
      <c r="AI85" s="383"/>
      <c r="AJ85" s="383"/>
      <c r="AK85" s="383"/>
      <c r="AL85" s="383"/>
      <c r="AM85" s="383"/>
      <c r="AN85" s="383"/>
      <c r="AO85" s="383"/>
      <c r="AP85" s="383"/>
      <c r="AQ85" s="383"/>
      <c r="AR85" s="383"/>
      <c r="AS85" s="385"/>
      <c r="AT85" s="48"/>
      <c r="AU85" s="69"/>
      <c r="AV85" s="69"/>
      <c r="AW85" s="69"/>
      <c r="AX85" s="69"/>
      <c r="AY85" s="69"/>
      <c r="AZ85" s="69"/>
      <c r="BA85" s="69"/>
      <c r="BB85" s="69"/>
    </row>
    <row r="86" spans="2:54" s="40" customFormat="1" ht="9.9499999999999993" customHeight="1" x14ac:dyDescent="0.4">
      <c r="B86" s="60"/>
      <c r="C86" s="446">
        <f>IF(C90="NA","NA",C81)</f>
        <v>0.95833333333333337</v>
      </c>
      <c r="D86" s="447"/>
      <c r="E86" s="397">
        <f ca="1">IFERROR(
  _xlfn.LET(
    _xlpm.time_diff,
    MOD(C90 - C86, 1),
    _xlpm.minutes,
    MINUTE(_xlpm.time_diff),
    _xlpm.pausas,
    SUMIF($T86:$V94, "Pausa", $K86:$L94),
    _xlpm.efficiency,
    (1 - _xlpm.pausas / IF(_xlpm.minutes = 0, 60, _xlpm.minutes)),
    _xlpm.result,
    IF(
       _xlpm.minutes = 0,
       ROUND(60 * 60 / cycle_time_welding * _xlpm.efficiency, 0),
       ROUND(_xlpm.minutes * 60 / cycle_time_welding * _xlpm.efficiency, 0)
      ),
    _xlpm.result
  ),
0)</f>
        <v>9</v>
      </c>
      <c r="F86" s="398"/>
      <c r="G86" s="413"/>
      <c r="H86" s="414"/>
      <c r="I86" s="419"/>
      <c r="J86" s="419"/>
      <c r="K86" s="419"/>
      <c r="L86" s="419"/>
      <c r="M86" s="66" t="str">
        <f t="shared" si="3"/>
        <v/>
      </c>
      <c r="N86" s="387"/>
      <c r="O86" s="388"/>
      <c r="P86" s="389"/>
      <c r="Q86" s="387"/>
      <c r="R86" s="388"/>
      <c r="S86" s="389"/>
      <c r="T86" s="387"/>
      <c r="U86" s="388"/>
      <c r="V86" s="389"/>
      <c r="W86" s="387"/>
      <c r="X86" s="388"/>
      <c r="Y86" s="389"/>
      <c r="Z86" s="387"/>
      <c r="AA86" s="388"/>
      <c r="AB86" s="388"/>
      <c r="AC86" s="388"/>
      <c r="AD86" s="388"/>
      <c r="AE86" s="388"/>
      <c r="AF86" s="388"/>
      <c r="AG86" s="388"/>
      <c r="AH86" s="388"/>
      <c r="AI86" s="388"/>
      <c r="AJ86" s="388"/>
      <c r="AK86" s="388"/>
      <c r="AL86" s="388"/>
      <c r="AM86" s="388"/>
      <c r="AN86" s="388"/>
      <c r="AO86" s="388"/>
      <c r="AP86" s="388"/>
      <c r="AQ86" s="388"/>
      <c r="AR86" s="388"/>
      <c r="AS86" s="452"/>
      <c r="AT86" s="48"/>
      <c r="AU86" s="69"/>
      <c r="AV86" s="69"/>
      <c r="AW86" s="69"/>
      <c r="AX86" s="69"/>
      <c r="AY86" s="69"/>
      <c r="AZ86" s="69"/>
      <c r="BA86" s="69"/>
      <c r="BB86" s="69"/>
    </row>
    <row r="87" spans="2:54" s="40" customFormat="1" ht="9.9499999999999993" customHeight="1" x14ac:dyDescent="0.4">
      <c r="B87" s="60"/>
      <c r="C87" s="448"/>
      <c r="D87" s="449"/>
      <c r="E87" s="411"/>
      <c r="F87" s="412"/>
      <c r="G87" s="415"/>
      <c r="H87" s="416"/>
      <c r="I87" s="401"/>
      <c r="J87" s="401"/>
      <c r="K87" s="401"/>
      <c r="L87" s="401"/>
      <c r="M87" s="66" t="str">
        <f t="shared" si="3"/>
        <v/>
      </c>
      <c r="N87" s="379"/>
      <c r="O87" s="380"/>
      <c r="P87" s="386"/>
      <c r="Q87" s="379"/>
      <c r="R87" s="380"/>
      <c r="S87" s="386"/>
      <c r="T87" s="379"/>
      <c r="U87" s="380"/>
      <c r="V87" s="386"/>
      <c r="W87" s="379"/>
      <c r="X87" s="380"/>
      <c r="Y87" s="386"/>
      <c r="Z87" s="379"/>
      <c r="AA87" s="380"/>
      <c r="AB87" s="380"/>
      <c r="AC87" s="380"/>
      <c r="AD87" s="380"/>
      <c r="AE87" s="380"/>
      <c r="AF87" s="380"/>
      <c r="AG87" s="380"/>
      <c r="AH87" s="380"/>
      <c r="AI87" s="380"/>
      <c r="AJ87" s="380"/>
      <c r="AK87" s="380"/>
      <c r="AL87" s="380"/>
      <c r="AM87" s="380"/>
      <c r="AN87" s="380"/>
      <c r="AO87" s="380"/>
      <c r="AP87" s="380"/>
      <c r="AQ87" s="380"/>
      <c r="AR87" s="380"/>
      <c r="AS87" s="381"/>
      <c r="AT87" s="48"/>
      <c r="AU87" s="69"/>
      <c r="AV87" s="69"/>
      <c r="AW87" s="69"/>
      <c r="AX87" s="69"/>
      <c r="AY87" s="69"/>
      <c r="AZ87" s="69"/>
      <c r="BA87" s="69"/>
      <c r="BB87" s="69"/>
    </row>
    <row r="88" spans="2:54" s="40" customFormat="1" ht="9.9499999999999993" customHeight="1" x14ac:dyDescent="0.4">
      <c r="B88" s="60"/>
      <c r="C88" s="448"/>
      <c r="D88" s="449"/>
      <c r="E88" s="411"/>
      <c r="F88" s="412"/>
      <c r="G88" s="415"/>
      <c r="H88" s="416"/>
      <c r="I88" s="401"/>
      <c r="J88" s="401"/>
      <c r="K88" s="401"/>
      <c r="L88" s="401"/>
      <c r="M88" s="66" t="str">
        <f t="shared" si="3"/>
        <v/>
      </c>
      <c r="N88" s="379"/>
      <c r="O88" s="380"/>
      <c r="P88" s="386"/>
      <c r="Q88" s="379"/>
      <c r="R88" s="380"/>
      <c r="S88" s="386"/>
      <c r="T88" s="379"/>
      <c r="U88" s="380"/>
      <c r="V88" s="386"/>
      <c r="W88" s="379"/>
      <c r="X88" s="380"/>
      <c r="Y88" s="386"/>
      <c r="Z88" s="379"/>
      <c r="AA88" s="380"/>
      <c r="AB88" s="380"/>
      <c r="AC88" s="380"/>
      <c r="AD88" s="380"/>
      <c r="AE88" s="380"/>
      <c r="AF88" s="380"/>
      <c r="AG88" s="380"/>
      <c r="AH88" s="380"/>
      <c r="AI88" s="380"/>
      <c r="AJ88" s="380"/>
      <c r="AK88" s="380"/>
      <c r="AL88" s="380"/>
      <c r="AM88" s="380"/>
      <c r="AN88" s="380"/>
      <c r="AO88" s="380"/>
      <c r="AP88" s="380"/>
      <c r="AQ88" s="380"/>
      <c r="AR88" s="380"/>
      <c r="AS88" s="381"/>
      <c r="AT88" s="48"/>
      <c r="AU88" s="69"/>
      <c r="AV88" s="69"/>
      <c r="AW88" s="69"/>
      <c r="AX88" s="69"/>
      <c r="AY88" s="69"/>
      <c r="AZ88" s="69"/>
      <c r="BA88" s="69"/>
      <c r="BB88" s="69"/>
    </row>
    <row r="89" spans="2:54" s="40" customFormat="1" ht="9.9499999999999993" customHeight="1" x14ac:dyDescent="0.4">
      <c r="B89" s="60"/>
      <c r="C89" s="448"/>
      <c r="D89" s="449"/>
      <c r="E89" s="411"/>
      <c r="F89" s="412"/>
      <c r="G89" s="415"/>
      <c r="H89" s="416"/>
      <c r="I89" s="401"/>
      <c r="J89" s="401"/>
      <c r="K89" s="401"/>
      <c r="L89" s="401"/>
      <c r="M89" s="66" t="str">
        <f t="shared" si="3"/>
        <v/>
      </c>
      <c r="N89" s="379"/>
      <c r="O89" s="380"/>
      <c r="P89" s="386"/>
      <c r="Q89" s="379"/>
      <c r="R89" s="380"/>
      <c r="S89" s="386"/>
      <c r="T89" s="379"/>
      <c r="U89" s="380"/>
      <c r="V89" s="386"/>
      <c r="W89" s="379"/>
      <c r="X89" s="380"/>
      <c r="Y89" s="386"/>
      <c r="Z89" s="379"/>
      <c r="AA89" s="380"/>
      <c r="AB89" s="380"/>
      <c r="AC89" s="380"/>
      <c r="AD89" s="380"/>
      <c r="AE89" s="380"/>
      <c r="AF89" s="380"/>
      <c r="AG89" s="380"/>
      <c r="AH89" s="380"/>
      <c r="AI89" s="380"/>
      <c r="AJ89" s="380"/>
      <c r="AK89" s="380"/>
      <c r="AL89" s="380"/>
      <c r="AM89" s="380"/>
      <c r="AN89" s="380"/>
      <c r="AO89" s="380"/>
      <c r="AP89" s="380"/>
      <c r="AQ89" s="380"/>
      <c r="AR89" s="380"/>
      <c r="AS89" s="381"/>
      <c r="AT89" s="48"/>
      <c r="AU89" s="69"/>
      <c r="AV89" s="69"/>
      <c r="AW89" s="69"/>
      <c r="AX89" s="69"/>
      <c r="AY89" s="69"/>
      <c r="AZ89" s="69"/>
      <c r="BA89" s="69"/>
      <c r="BB89" s="69"/>
    </row>
    <row r="90" spans="2:54" s="40" customFormat="1" ht="9.9499999999999993" customHeight="1" x14ac:dyDescent="0.4">
      <c r="B90" s="60"/>
      <c r="C90" s="448">
        <f>IF($Q$5="X", IF(WEEKDAY($E$5) = 2, "NA", TIME(7, 10, 0)), IF($R$5="X", TIME(15, 30, 0), IF($S$5="X", TIME(23, 50, 0), "NA")))</f>
        <v>0.99305555555555558</v>
      </c>
      <c r="D90" s="449"/>
      <c r="E90" s="411"/>
      <c r="F90" s="412"/>
      <c r="G90" s="415"/>
      <c r="H90" s="416"/>
      <c r="I90" s="401"/>
      <c r="J90" s="401"/>
      <c r="K90" s="401"/>
      <c r="L90" s="401"/>
      <c r="M90" s="66" t="str">
        <f t="shared" si="3"/>
        <v/>
      </c>
      <c r="N90" s="379"/>
      <c r="O90" s="380"/>
      <c r="P90" s="386"/>
      <c r="Q90" s="379"/>
      <c r="R90" s="380"/>
      <c r="S90" s="386"/>
      <c r="T90" s="379"/>
      <c r="U90" s="380"/>
      <c r="V90" s="386"/>
      <c r="W90" s="379"/>
      <c r="X90" s="380"/>
      <c r="Y90" s="386"/>
      <c r="Z90" s="379"/>
      <c r="AA90" s="380"/>
      <c r="AB90" s="380"/>
      <c r="AC90" s="380"/>
      <c r="AD90" s="380"/>
      <c r="AE90" s="380"/>
      <c r="AF90" s="380"/>
      <c r="AG90" s="380"/>
      <c r="AH90" s="380"/>
      <c r="AI90" s="380"/>
      <c r="AJ90" s="380"/>
      <c r="AK90" s="380"/>
      <c r="AL90" s="380"/>
      <c r="AM90" s="380"/>
      <c r="AN90" s="380"/>
      <c r="AO90" s="380"/>
      <c r="AP90" s="380"/>
      <c r="AQ90" s="380"/>
      <c r="AR90" s="380"/>
      <c r="AS90" s="381"/>
      <c r="AT90" s="48"/>
      <c r="AU90" s="69"/>
      <c r="AV90" s="69"/>
      <c r="AW90" s="69"/>
      <c r="AX90" s="69"/>
      <c r="AY90" s="69"/>
      <c r="AZ90" s="69"/>
      <c r="BA90" s="69"/>
      <c r="BB90" s="69"/>
    </row>
    <row r="91" spans="2:54" s="40" customFormat="1" ht="9.9499999999999993" customHeight="1" x14ac:dyDescent="0.4">
      <c r="B91" s="60"/>
      <c r="C91" s="448"/>
      <c r="D91" s="449"/>
      <c r="E91" s="411"/>
      <c r="F91" s="412"/>
      <c r="G91" s="415"/>
      <c r="H91" s="416"/>
      <c r="I91" s="401"/>
      <c r="J91" s="401"/>
      <c r="K91" s="401"/>
      <c r="L91" s="401"/>
      <c r="M91" s="66" t="str">
        <f t="shared" si="3"/>
        <v/>
      </c>
      <c r="N91" s="379"/>
      <c r="O91" s="380"/>
      <c r="P91" s="386"/>
      <c r="Q91" s="379"/>
      <c r="R91" s="380"/>
      <c r="S91" s="386"/>
      <c r="T91" s="379"/>
      <c r="U91" s="380"/>
      <c r="V91" s="386"/>
      <c r="W91" s="379"/>
      <c r="X91" s="380"/>
      <c r="Y91" s="386"/>
      <c r="Z91" s="379"/>
      <c r="AA91" s="380"/>
      <c r="AB91" s="380"/>
      <c r="AC91" s="380"/>
      <c r="AD91" s="380"/>
      <c r="AE91" s="380"/>
      <c r="AF91" s="380"/>
      <c r="AG91" s="380"/>
      <c r="AH91" s="380"/>
      <c r="AI91" s="380"/>
      <c r="AJ91" s="380"/>
      <c r="AK91" s="380"/>
      <c r="AL91" s="380"/>
      <c r="AM91" s="380"/>
      <c r="AN91" s="380"/>
      <c r="AO91" s="380"/>
      <c r="AP91" s="380"/>
      <c r="AQ91" s="380"/>
      <c r="AR91" s="380"/>
      <c r="AS91" s="381"/>
      <c r="AT91" s="48"/>
      <c r="AU91" s="69"/>
      <c r="AV91" s="69"/>
      <c r="AW91" s="69"/>
      <c r="AX91" s="69"/>
      <c r="AY91" s="69"/>
      <c r="AZ91" s="69"/>
      <c r="BA91" s="69"/>
      <c r="BB91" s="69"/>
    </row>
    <row r="92" spans="2:54" s="40" customFormat="1" ht="9.9499999999999993" customHeight="1" x14ac:dyDescent="0.4">
      <c r="B92" s="60"/>
      <c r="C92" s="448"/>
      <c r="D92" s="449"/>
      <c r="E92" s="399"/>
      <c r="F92" s="400"/>
      <c r="G92" s="415"/>
      <c r="H92" s="416"/>
      <c r="I92" s="401"/>
      <c r="J92" s="401"/>
      <c r="K92" s="401"/>
      <c r="L92" s="401"/>
      <c r="M92" s="66" t="str">
        <f t="shared" si="3"/>
        <v/>
      </c>
      <c r="N92" s="379"/>
      <c r="O92" s="380"/>
      <c r="P92" s="386"/>
      <c r="Q92" s="379"/>
      <c r="R92" s="380"/>
      <c r="S92" s="386"/>
      <c r="T92" s="379"/>
      <c r="U92" s="380"/>
      <c r="V92" s="386"/>
      <c r="W92" s="379"/>
      <c r="X92" s="380"/>
      <c r="Y92" s="386"/>
      <c r="Z92" s="379"/>
      <c r="AA92" s="380"/>
      <c r="AB92" s="380"/>
      <c r="AC92" s="380"/>
      <c r="AD92" s="380"/>
      <c r="AE92" s="380"/>
      <c r="AF92" s="380"/>
      <c r="AG92" s="380"/>
      <c r="AH92" s="380"/>
      <c r="AI92" s="380"/>
      <c r="AJ92" s="380"/>
      <c r="AK92" s="380"/>
      <c r="AL92" s="380"/>
      <c r="AM92" s="380"/>
      <c r="AN92" s="380"/>
      <c r="AO92" s="380"/>
      <c r="AP92" s="380"/>
      <c r="AQ92" s="380"/>
      <c r="AR92" s="380"/>
      <c r="AS92" s="381"/>
      <c r="AT92" s="48"/>
      <c r="AU92" s="69"/>
      <c r="AV92" s="69"/>
      <c r="AW92" s="69"/>
      <c r="AX92" s="69"/>
      <c r="AY92" s="69"/>
      <c r="AZ92" s="69"/>
      <c r="BA92" s="69"/>
      <c r="BB92" s="69"/>
    </row>
    <row r="93" spans="2:54" s="40" customFormat="1" ht="9.9499999999999993" customHeight="1" x14ac:dyDescent="0.4">
      <c r="B93" s="60"/>
      <c r="C93" s="448"/>
      <c r="D93" s="449"/>
      <c r="E93" s="393">
        <f ca="1">IFERROR(E84 + E86, "")</f>
        <v>92</v>
      </c>
      <c r="F93" s="394"/>
      <c r="G93" s="477">
        <f>G84+G86</f>
        <v>0</v>
      </c>
      <c r="H93" s="478"/>
      <c r="I93" s="481"/>
      <c r="J93" s="401"/>
      <c r="K93" s="401"/>
      <c r="L93" s="401"/>
      <c r="M93" s="66" t="str">
        <f t="shared" si="3"/>
        <v/>
      </c>
      <c r="N93" s="379"/>
      <c r="O93" s="380"/>
      <c r="P93" s="386"/>
      <c r="Q93" s="379"/>
      <c r="R93" s="380"/>
      <c r="S93" s="386"/>
      <c r="T93" s="379"/>
      <c r="U93" s="380"/>
      <c r="V93" s="386"/>
      <c r="W93" s="379"/>
      <c r="X93" s="380"/>
      <c r="Y93" s="386"/>
      <c r="Z93" s="379"/>
      <c r="AA93" s="380"/>
      <c r="AB93" s="380"/>
      <c r="AC93" s="380"/>
      <c r="AD93" s="380"/>
      <c r="AE93" s="380"/>
      <c r="AF93" s="380"/>
      <c r="AG93" s="380"/>
      <c r="AH93" s="380"/>
      <c r="AI93" s="380"/>
      <c r="AJ93" s="380"/>
      <c r="AK93" s="380"/>
      <c r="AL93" s="380"/>
      <c r="AM93" s="380"/>
      <c r="AN93" s="380"/>
      <c r="AO93" s="380"/>
      <c r="AP93" s="380"/>
      <c r="AQ93" s="380"/>
      <c r="AR93" s="380"/>
      <c r="AS93" s="381"/>
      <c r="AT93" s="48"/>
      <c r="AU93" s="69"/>
      <c r="AV93" s="69"/>
      <c r="AW93" s="69"/>
      <c r="AX93" s="69"/>
      <c r="AY93" s="69"/>
      <c r="AZ93" s="69"/>
      <c r="BA93" s="69"/>
      <c r="BB93" s="69"/>
    </row>
    <row r="94" spans="2:54" s="40" customFormat="1" ht="9.9499999999999993" customHeight="1" thickBot="1" x14ac:dyDescent="0.45">
      <c r="B94" s="60"/>
      <c r="C94" s="453"/>
      <c r="D94" s="454"/>
      <c r="E94" s="475"/>
      <c r="F94" s="476"/>
      <c r="G94" s="479"/>
      <c r="H94" s="480"/>
      <c r="I94" s="491"/>
      <c r="J94" s="492"/>
      <c r="K94" s="492"/>
      <c r="L94" s="492"/>
      <c r="M94" s="70" t="str">
        <f t="shared" si="3"/>
        <v/>
      </c>
      <c r="N94" s="493"/>
      <c r="O94" s="494"/>
      <c r="P94" s="495"/>
      <c r="Q94" s="493"/>
      <c r="R94" s="494"/>
      <c r="S94" s="495"/>
      <c r="T94" s="493"/>
      <c r="U94" s="494"/>
      <c r="V94" s="495"/>
      <c r="W94" s="493"/>
      <c r="X94" s="494"/>
      <c r="Y94" s="495"/>
      <c r="Z94" s="493"/>
      <c r="AA94" s="494"/>
      <c r="AB94" s="494"/>
      <c r="AC94" s="494"/>
      <c r="AD94" s="494"/>
      <c r="AE94" s="494"/>
      <c r="AF94" s="494"/>
      <c r="AG94" s="494"/>
      <c r="AH94" s="494"/>
      <c r="AI94" s="494"/>
      <c r="AJ94" s="494"/>
      <c r="AK94" s="494"/>
      <c r="AL94" s="494"/>
      <c r="AM94" s="494"/>
      <c r="AN94" s="494"/>
      <c r="AO94" s="494"/>
      <c r="AP94" s="494"/>
      <c r="AQ94" s="494"/>
      <c r="AR94" s="494"/>
      <c r="AS94" s="496"/>
      <c r="AT94" s="48"/>
      <c r="AU94" s="69"/>
      <c r="AV94" s="69"/>
      <c r="AW94" s="69"/>
      <c r="AX94" s="69"/>
      <c r="AY94" s="69"/>
      <c r="AZ94" s="69"/>
      <c r="BA94" s="69"/>
      <c r="BB94" s="69"/>
    </row>
    <row r="95" spans="2:54" s="40" customFormat="1" ht="9.9499999999999993" customHeight="1" x14ac:dyDescent="0.4">
      <c r="B95" s="60"/>
      <c r="C95" s="55"/>
      <c r="D95" s="55"/>
      <c r="E95" s="55"/>
      <c r="F95" s="56"/>
      <c r="G95" s="503">
        <f ca="1">IFERROR(E93-G93,0)</f>
        <v>92</v>
      </c>
      <c r="H95" s="504"/>
      <c r="I95" s="507">
        <f>SUM(I14:J94)</f>
        <v>0</v>
      </c>
      <c r="J95" s="507"/>
      <c r="K95" s="509">
        <f>SUM(K14:L94)</f>
        <v>50</v>
      </c>
      <c r="L95" s="507"/>
      <c r="M95" s="45"/>
      <c r="N95" s="54"/>
      <c r="O95" s="54"/>
      <c r="P95" s="54"/>
      <c r="Q95" s="54"/>
      <c r="R95" s="54"/>
      <c r="S95" s="54"/>
      <c r="T95" s="54"/>
      <c r="U95" s="54"/>
      <c r="V95" s="54"/>
      <c r="W95" s="54"/>
      <c r="X95" s="54"/>
      <c r="Y95" s="54"/>
      <c r="Z95" s="55"/>
      <c r="AA95" s="55"/>
      <c r="AB95" s="55"/>
      <c r="AC95" s="55"/>
      <c r="AD95" s="55"/>
      <c r="AE95" s="55"/>
      <c r="AF95" s="55"/>
      <c r="AG95" s="55"/>
      <c r="AH95" s="55"/>
      <c r="AI95" s="55"/>
      <c r="AJ95" s="55"/>
      <c r="AK95" s="55"/>
      <c r="AL95" s="55"/>
      <c r="AM95" s="55"/>
      <c r="AN95" s="55"/>
      <c r="AO95" s="55"/>
      <c r="AP95" s="55"/>
      <c r="AQ95" s="55"/>
      <c r="AR95" s="55"/>
      <c r="AS95" s="55"/>
      <c r="AT95" s="48"/>
      <c r="AU95" s="69"/>
      <c r="AV95" s="69"/>
      <c r="AW95" s="69"/>
      <c r="AX95" s="69"/>
      <c r="AY95" s="69"/>
      <c r="AZ95" s="69"/>
      <c r="BA95" s="69"/>
      <c r="BB95" s="69"/>
    </row>
    <row r="96" spans="2:54" ht="9.9499999999999993" customHeight="1" x14ac:dyDescent="0.4">
      <c r="B96" s="71"/>
      <c r="C96" s="54"/>
      <c r="D96" s="54"/>
      <c r="E96" s="54"/>
      <c r="F96" s="54"/>
      <c r="G96" s="505"/>
      <c r="H96" s="506"/>
      <c r="I96" s="508"/>
      <c r="J96" s="508"/>
      <c r="K96" s="508"/>
      <c r="L96" s="508"/>
      <c r="M96" s="45"/>
      <c r="N96" s="497" t="s">
        <v>501</v>
      </c>
      <c r="O96" s="498"/>
      <c r="P96" s="498"/>
      <c r="Q96" s="498"/>
      <c r="R96" s="498"/>
      <c r="S96" s="498"/>
      <c r="T96" s="498"/>
      <c r="U96" s="498"/>
      <c r="V96" s="498"/>
      <c r="W96" s="498"/>
      <c r="X96" s="499"/>
      <c r="Y96" s="54"/>
      <c r="Z96" s="497" t="s">
        <v>264</v>
      </c>
      <c r="AA96" s="498"/>
      <c r="AB96" s="498"/>
      <c r="AC96" s="498"/>
      <c r="AD96" s="498"/>
      <c r="AE96" s="498"/>
      <c r="AF96" s="498"/>
      <c r="AG96" s="498"/>
      <c r="AH96" s="498"/>
      <c r="AI96" s="498"/>
      <c r="AJ96" s="498"/>
      <c r="AK96" s="498"/>
      <c r="AL96" s="498"/>
      <c r="AM96" s="498"/>
      <c r="AN96" s="498"/>
      <c r="AO96" s="498"/>
      <c r="AP96" s="498"/>
      <c r="AQ96" s="498"/>
      <c r="AR96" s="498"/>
      <c r="AS96" s="499"/>
      <c r="AT96" s="68"/>
      <c r="AU96" s="69"/>
      <c r="BA96" s="69"/>
      <c r="BB96" s="69"/>
    </row>
    <row r="97" spans="1:48" ht="9.9499999999999993" customHeight="1" x14ac:dyDescent="0.4">
      <c r="B97" s="71"/>
      <c r="C97" s="54"/>
      <c r="D97" s="54"/>
      <c r="E97" s="54"/>
      <c r="F97" s="54"/>
      <c r="G97" s="54"/>
      <c r="H97" s="54"/>
      <c r="I97" s="54"/>
      <c r="J97" s="54"/>
      <c r="K97" s="54"/>
      <c r="L97" s="54"/>
      <c r="M97" s="72"/>
      <c r="N97" s="500"/>
      <c r="O97" s="501"/>
      <c r="P97" s="501"/>
      <c r="Q97" s="501"/>
      <c r="R97" s="501"/>
      <c r="S97" s="501"/>
      <c r="T97" s="501"/>
      <c r="U97" s="501"/>
      <c r="V97" s="501"/>
      <c r="W97" s="501"/>
      <c r="X97" s="502"/>
      <c r="Y97" s="54"/>
      <c r="Z97" s="500"/>
      <c r="AA97" s="501"/>
      <c r="AB97" s="501"/>
      <c r="AC97" s="501"/>
      <c r="AD97" s="501"/>
      <c r="AE97" s="501"/>
      <c r="AF97" s="501"/>
      <c r="AG97" s="501"/>
      <c r="AH97" s="501"/>
      <c r="AI97" s="501"/>
      <c r="AJ97" s="501"/>
      <c r="AK97" s="501"/>
      <c r="AL97" s="501"/>
      <c r="AM97" s="501"/>
      <c r="AN97" s="501"/>
      <c r="AO97" s="501"/>
      <c r="AP97" s="501"/>
      <c r="AQ97" s="501"/>
      <c r="AR97" s="501"/>
      <c r="AS97" s="502"/>
      <c r="AT97" s="73"/>
      <c r="AU97" s="40"/>
    </row>
    <row r="98" spans="1:48" ht="9.9499999999999993" customHeight="1" x14ac:dyDescent="0.4">
      <c r="B98" s="71"/>
      <c r="C98" s="497" t="s">
        <v>500</v>
      </c>
      <c r="D98" s="498"/>
      <c r="E98" s="498"/>
      <c r="F98" s="498"/>
      <c r="G98" s="498"/>
      <c r="H98" s="498"/>
      <c r="I98" s="498"/>
      <c r="J98" s="498"/>
      <c r="K98" s="498"/>
      <c r="L98" s="499"/>
      <c r="M98" s="74"/>
      <c r="N98" s="54"/>
      <c r="O98" s="54"/>
      <c r="P98" s="54"/>
      <c r="Q98" s="54"/>
      <c r="R98" s="54"/>
      <c r="S98" s="54"/>
      <c r="T98" s="54"/>
      <c r="U98" s="54"/>
      <c r="V98" s="54"/>
      <c r="W98" s="54"/>
      <c r="X98" s="54"/>
      <c r="Y98" s="54"/>
      <c r="Z98" s="152"/>
      <c r="AA98" s="153"/>
      <c r="AB98" s="54"/>
      <c r="AC98" s="54"/>
      <c r="AD98" s="54"/>
      <c r="AE98" s="54"/>
      <c r="AF98" s="54"/>
      <c r="AG98" s="54"/>
      <c r="AH98" s="54"/>
      <c r="AI98" s="54"/>
      <c r="AJ98" s="54"/>
      <c r="AK98" s="54"/>
      <c r="AL98" s="54"/>
      <c r="AM98" s="54"/>
      <c r="AN98" s="54"/>
      <c r="AO98" s="54"/>
      <c r="AP98" s="54"/>
      <c r="AQ98" s="54"/>
      <c r="AR98" s="54"/>
      <c r="AS98" s="54"/>
      <c r="AT98" s="73"/>
      <c r="AU98" s="40"/>
      <c r="AV98" s="40"/>
    </row>
    <row r="99" spans="1:48" ht="9.9499999999999993" customHeight="1" x14ac:dyDescent="0.4">
      <c r="B99" s="71"/>
      <c r="C99" s="500"/>
      <c r="D99" s="501"/>
      <c r="E99" s="501"/>
      <c r="F99" s="501"/>
      <c r="G99" s="501"/>
      <c r="H99" s="501"/>
      <c r="I99" s="501"/>
      <c r="J99" s="501"/>
      <c r="K99" s="501"/>
      <c r="L99" s="502"/>
      <c r="M99" s="74"/>
      <c r="N99" s="455" t="s">
        <v>504</v>
      </c>
      <c r="O99" s="456"/>
      <c r="P99" s="457"/>
      <c r="Q99" s="461">
        <v>3</v>
      </c>
      <c r="R99" s="462"/>
      <c r="S99" s="54"/>
      <c r="T99" s="455" t="s">
        <v>508</v>
      </c>
      <c r="U99" s="456"/>
      <c r="V99" s="457"/>
      <c r="W99" s="510">
        <v>5</v>
      </c>
      <c r="X99" s="511"/>
      <c r="Y99" s="54"/>
      <c r="Z99" s="482" t="s">
        <v>540</v>
      </c>
      <c r="AA99" s="483"/>
      <c r="AB99" s="483"/>
      <c r="AC99" s="483"/>
      <c r="AD99" s="483"/>
      <c r="AE99" s="483"/>
      <c r="AF99" s="483"/>
      <c r="AG99" s="483"/>
      <c r="AH99" s="483"/>
      <c r="AI99" s="483"/>
      <c r="AJ99" s="483"/>
      <c r="AK99" s="483"/>
      <c r="AL99" s="483"/>
      <c r="AM99" s="483"/>
      <c r="AN99" s="483"/>
      <c r="AO99" s="483"/>
      <c r="AP99" s="483"/>
      <c r="AQ99" s="483"/>
      <c r="AR99" s="483"/>
      <c r="AS99" s="484"/>
      <c r="AT99" s="73"/>
      <c r="AU99" s="40"/>
      <c r="AV99" s="40"/>
    </row>
    <row r="100" spans="1:48" ht="9.9499999999999993" customHeight="1" x14ac:dyDescent="0.4">
      <c r="B100" s="71"/>
      <c r="C100" s="54"/>
      <c r="D100" s="54"/>
      <c r="E100" s="54"/>
      <c r="F100" s="54"/>
      <c r="G100" s="54"/>
      <c r="H100" s="54"/>
      <c r="I100" s="54"/>
      <c r="J100" s="54"/>
      <c r="K100" s="54"/>
      <c r="L100" s="54"/>
      <c r="M100" s="54"/>
      <c r="N100" s="458"/>
      <c r="O100" s="459"/>
      <c r="P100" s="460"/>
      <c r="Q100" s="463"/>
      <c r="R100" s="464"/>
      <c r="S100" s="54"/>
      <c r="T100" s="458"/>
      <c r="U100" s="459"/>
      <c r="V100" s="460"/>
      <c r="W100" s="512"/>
      <c r="X100" s="513"/>
      <c r="Y100" s="54"/>
      <c r="Z100" s="485"/>
      <c r="AA100" s="486"/>
      <c r="AB100" s="486"/>
      <c r="AC100" s="486"/>
      <c r="AD100" s="486"/>
      <c r="AE100" s="486"/>
      <c r="AF100" s="486"/>
      <c r="AG100" s="486"/>
      <c r="AH100" s="486"/>
      <c r="AI100" s="486"/>
      <c r="AJ100" s="486"/>
      <c r="AK100" s="486"/>
      <c r="AL100" s="486"/>
      <c r="AM100" s="486"/>
      <c r="AN100" s="486"/>
      <c r="AO100" s="486"/>
      <c r="AP100" s="486"/>
      <c r="AQ100" s="486"/>
      <c r="AR100" s="486"/>
      <c r="AS100" s="487"/>
      <c r="AT100" s="73"/>
      <c r="AU100" s="40"/>
      <c r="AV100" s="40"/>
    </row>
    <row r="101" spans="1:48" ht="9.9499999999999993" customHeight="1" x14ac:dyDescent="0.4">
      <c r="A101" s="75"/>
      <c r="B101" s="71"/>
      <c r="C101" s="465" t="s">
        <v>25</v>
      </c>
      <c r="D101" s="466"/>
      <c r="E101" s="466"/>
      <c r="F101" s="467"/>
      <c r="G101" s="468"/>
      <c r="H101" s="469"/>
      <c r="I101" s="469"/>
      <c r="J101" s="469"/>
      <c r="K101" s="469"/>
      <c r="L101" s="470"/>
      <c r="M101" s="55"/>
      <c r="N101" s="55"/>
      <c r="O101" s="54"/>
      <c r="P101" s="54"/>
      <c r="Q101" s="54"/>
      <c r="R101" s="54"/>
      <c r="S101" s="54"/>
      <c r="T101" s="54"/>
      <c r="U101" s="54"/>
      <c r="V101" s="54"/>
      <c r="W101" s="54"/>
      <c r="X101" s="54"/>
      <c r="Y101" s="54"/>
      <c r="Z101" s="485"/>
      <c r="AA101" s="486"/>
      <c r="AB101" s="486"/>
      <c r="AC101" s="486"/>
      <c r="AD101" s="486"/>
      <c r="AE101" s="486"/>
      <c r="AF101" s="486"/>
      <c r="AG101" s="486"/>
      <c r="AH101" s="486"/>
      <c r="AI101" s="486"/>
      <c r="AJ101" s="486"/>
      <c r="AK101" s="486"/>
      <c r="AL101" s="486"/>
      <c r="AM101" s="486"/>
      <c r="AN101" s="486"/>
      <c r="AO101" s="486"/>
      <c r="AP101" s="486"/>
      <c r="AQ101" s="486"/>
      <c r="AR101" s="486"/>
      <c r="AS101" s="487"/>
      <c r="AT101" s="73"/>
      <c r="AU101" s="76"/>
      <c r="AV101" s="40"/>
    </row>
    <row r="102" spans="1:48" ht="9.9499999999999993" customHeight="1" x14ac:dyDescent="0.4">
      <c r="B102" s="71"/>
      <c r="C102" s="77"/>
      <c r="D102" s="55"/>
      <c r="E102" s="55"/>
      <c r="F102" s="55"/>
      <c r="G102" s="55"/>
      <c r="H102" s="78"/>
      <c r="I102" s="55"/>
      <c r="J102" s="44"/>
      <c r="K102" s="44"/>
      <c r="L102" s="79"/>
      <c r="M102" s="55"/>
      <c r="N102" s="455" t="s">
        <v>505</v>
      </c>
      <c r="O102" s="456"/>
      <c r="P102" s="457"/>
      <c r="Q102" s="510">
        <v>2</v>
      </c>
      <c r="R102" s="511"/>
      <c r="S102" s="54"/>
      <c r="T102" s="455" t="s">
        <v>0</v>
      </c>
      <c r="U102" s="456"/>
      <c r="V102" s="457"/>
      <c r="W102" s="471">
        <f ca="1">_xlfn.LET(
  _xlpm.shift_time,
  IF(AND(Q6="X",WEEKDAY(E6,2)=2),430, IF(AND(Q6="X",WEEKDAY(E6,2)&lt;&gt;2),440,500)),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_xlpm.availability,
  (_xlpm.planned_operating_time - unplanned_downtime) / _xlpm.planned_operating_time,
  _xlpm.performance,
  ((cycle_time_welding/60) * total_produced)/(_xlpm.planned_operating_time - unplanned_downtime),
  _xlpm.quality,
  (total_produced - nok_parts)/total_produced,
  _xlpm.formula_oee,
  IFERROR(_xlpm.quality * _xlpm.performance * _xlpm.availability,0),
  _xlpm.formula_oee
)</f>
        <v>0</v>
      </c>
      <c r="X102" s="472"/>
      <c r="Y102" s="54"/>
      <c r="Z102" s="485"/>
      <c r="AA102" s="486"/>
      <c r="AB102" s="486"/>
      <c r="AC102" s="486"/>
      <c r="AD102" s="486"/>
      <c r="AE102" s="486"/>
      <c r="AF102" s="486"/>
      <c r="AG102" s="486"/>
      <c r="AH102" s="486"/>
      <c r="AI102" s="486"/>
      <c r="AJ102" s="486"/>
      <c r="AK102" s="486"/>
      <c r="AL102" s="486"/>
      <c r="AM102" s="486"/>
      <c r="AN102" s="486"/>
      <c r="AO102" s="486"/>
      <c r="AP102" s="486"/>
      <c r="AQ102" s="486"/>
      <c r="AR102" s="486"/>
      <c r="AS102" s="487"/>
      <c r="AT102" s="73"/>
      <c r="AU102" s="40"/>
      <c r="AV102" s="40"/>
    </row>
    <row r="103" spans="1:48" ht="9.9499999999999993" customHeight="1" x14ac:dyDescent="0.4">
      <c r="B103" s="71"/>
      <c r="C103" s="465" t="s">
        <v>25</v>
      </c>
      <c r="D103" s="466"/>
      <c r="E103" s="466"/>
      <c r="F103" s="467"/>
      <c r="G103" s="468"/>
      <c r="H103" s="469"/>
      <c r="I103" s="469"/>
      <c r="J103" s="469"/>
      <c r="K103" s="469"/>
      <c r="L103" s="470"/>
      <c r="M103" s="55"/>
      <c r="N103" s="458"/>
      <c r="O103" s="459"/>
      <c r="P103" s="460"/>
      <c r="Q103" s="512"/>
      <c r="R103" s="513"/>
      <c r="S103" s="54"/>
      <c r="T103" s="458"/>
      <c r="U103" s="459"/>
      <c r="V103" s="460"/>
      <c r="W103" s="473"/>
      <c r="X103" s="474"/>
      <c r="Y103" s="54"/>
      <c r="Z103" s="485"/>
      <c r="AA103" s="486"/>
      <c r="AB103" s="486"/>
      <c r="AC103" s="486"/>
      <c r="AD103" s="486"/>
      <c r="AE103" s="486"/>
      <c r="AF103" s="486"/>
      <c r="AG103" s="486"/>
      <c r="AH103" s="486"/>
      <c r="AI103" s="486"/>
      <c r="AJ103" s="486"/>
      <c r="AK103" s="486"/>
      <c r="AL103" s="486"/>
      <c r="AM103" s="486"/>
      <c r="AN103" s="486"/>
      <c r="AO103" s="486"/>
      <c r="AP103" s="486"/>
      <c r="AQ103" s="486"/>
      <c r="AR103" s="486"/>
      <c r="AS103" s="487"/>
      <c r="AT103" s="73"/>
      <c r="AU103" s="40"/>
      <c r="AV103" s="40"/>
    </row>
    <row r="104" spans="1:48" ht="9.9499999999999993" customHeight="1" x14ac:dyDescent="0.4">
      <c r="B104" s="71"/>
      <c r="C104" s="54"/>
      <c r="D104" s="54"/>
      <c r="E104" s="55"/>
      <c r="F104" s="55"/>
      <c r="G104" s="55"/>
      <c r="H104" s="78"/>
      <c r="I104" s="55"/>
      <c r="J104" s="44"/>
      <c r="K104" s="44"/>
      <c r="L104" s="79"/>
      <c r="M104" s="55"/>
      <c r="N104" s="54"/>
      <c r="O104" s="54"/>
      <c r="P104" s="54"/>
      <c r="Q104" s="54"/>
      <c r="R104" s="54"/>
      <c r="S104" s="54"/>
      <c r="T104" s="54"/>
      <c r="U104" s="54"/>
      <c r="V104" s="54"/>
      <c r="W104" s="54"/>
      <c r="X104" s="54"/>
      <c r="Y104" s="54"/>
      <c r="Z104" s="485"/>
      <c r="AA104" s="486"/>
      <c r="AB104" s="486"/>
      <c r="AC104" s="486"/>
      <c r="AD104" s="486"/>
      <c r="AE104" s="486"/>
      <c r="AF104" s="486"/>
      <c r="AG104" s="486"/>
      <c r="AH104" s="486"/>
      <c r="AI104" s="486"/>
      <c r="AJ104" s="486"/>
      <c r="AK104" s="486"/>
      <c r="AL104" s="486"/>
      <c r="AM104" s="486"/>
      <c r="AN104" s="486"/>
      <c r="AO104" s="486"/>
      <c r="AP104" s="486"/>
      <c r="AQ104" s="486"/>
      <c r="AR104" s="486"/>
      <c r="AS104" s="487"/>
      <c r="AT104" s="73"/>
      <c r="AU104" s="40"/>
      <c r="AV104" s="40"/>
    </row>
    <row r="105" spans="1:48" ht="9.9499999999999993" customHeight="1" x14ac:dyDescent="0.4">
      <c r="B105" s="71"/>
      <c r="C105" s="465" t="s">
        <v>25</v>
      </c>
      <c r="D105" s="466"/>
      <c r="E105" s="466"/>
      <c r="F105" s="467"/>
      <c r="G105" s="468"/>
      <c r="H105" s="469"/>
      <c r="I105" s="469"/>
      <c r="J105" s="469"/>
      <c r="K105" s="469"/>
      <c r="L105" s="470"/>
      <c r="M105" s="55"/>
      <c r="N105" s="455" t="s">
        <v>21</v>
      </c>
      <c r="O105" s="456"/>
      <c r="P105" s="457"/>
      <c r="Q105" s="514">
        <f>IFERROR(IF(total_produced&gt;0,nok_parts/total_produced,0),0)</f>
        <v>0</v>
      </c>
      <c r="R105" s="515"/>
      <c r="S105" s="54"/>
      <c r="T105" s="455" t="s">
        <v>507</v>
      </c>
      <c r="U105" s="456"/>
      <c r="V105" s="457"/>
      <c r="W105" s="542">
        <f ca="1">_xlfn.LET(
  _xlpm.shift_time,
  IF(AND(Q5="X",WEEKDAY(E5,2)=2),430, IF(AND(Q5="X",WEEKDAY(E5,2)&lt;&gt;2),440,500)),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_xlpm.productivity,
  (total_produced - nok_parts) / ((_xlpm.planned_operating_time - _xlpm.planned_downtime) * (number_workers / 60)),
  IF(
    _xlpm.productivity &lt; 0,
    0,
    IFERROR(_xlpm.productivity,0)
  )
)</f>
        <v>0</v>
      </c>
      <c r="X105" s="543"/>
      <c r="Y105" s="54"/>
      <c r="Z105" s="485"/>
      <c r="AA105" s="486"/>
      <c r="AB105" s="486"/>
      <c r="AC105" s="486"/>
      <c r="AD105" s="486"/>
      <c r="AE105" s="486"/>
      <c r="AF105" s="486"/>
      <c r="AG105" s="486"/>
      <c r="AH105" s="486"/>
      <c r="AI105" s="486"/>
      <c r="AJ105" s="486"/>
      <c r="AK105" s="486"/>
      <c r="AL105" s="486"/>
      <c r="AM105" s="486"/>
      <c r="AN105" s="486"/>
      <c r="AO105" s="486"/>
      <c r="AP105" s="486"/>
      <c r="AQ105" s="486"/>
      <c r="AR105" s="486"/>
      <c r="AS105" s="487"/>
      <c r="AT105" s="73"/>
    </row>
    <row r="106" spans="1:48" ht="9.9499999999999993" customHeight="1" x14ac:dyDescent="0.4">
      <c r="B106" s="71"/>
      <c r="C106" s="77"/>
      <c r="D106" s="55"/>
      <c r="E106" s="55"/>
      <c r="F106" s="55"/>
      <c r="G106" s="55"/>
      <c r="H106" s="78"/>
      <c r="I106" s="55"/>
      <c r="J106" s="44"/>
      <c r="K106" s="44"/>
      <c r="L106" s="79"/>
      <c r="M106" s="55"/>
      <c r="N106" s="458"/>
      <c r="O106" s="459"/>
      <c r="P106" s="460"/>
      <c r="Q106" s="516"/>
      <c r="R106" s="517"/>
      <c r="S106" s="54"/>
      <c r="T106" s="458"/>
      <c r="U106" s="459"/>
      <c r="V106" s="460"/>
      <c r="W106" s="544"/>
      <c r="X106" s="545"/>
      <c r="Y106" s="54"/>
      <c r="Z106" s="485"/>
      <c r="AA106" s="486"/>
      <c r="AB106" s="486"/>
      <c r="AC106" s="486"/>
      <c r="AD106" s="486"/>
      <c r="AE106" s="486"/>
      <c r="AF106" s="486"/>
      <c r="AG106" s="486"/>
      <c r="AH106" s="486"/>
      <c r="AI106" s="486"/>
      <c r="AJ106" s="486"/>
      <c r="AK106" s="486"/>
      <c r="AL106" s="486"/>
      <c r="AM106" s="486"/>
      <c r="AN106" s="486"/>
      <c r="AO106" s="486"/>
      <c r="AP106" s="486"/>
      <c r="AQ106" s="486"/>
      <c r="AR106" s="486"/>
      <c r="AS106" s="487"/>
      <c r="AT106" s="73"/>
    </row>
    <row r="107" spans="1:48" ht="9.9499999999999993" customHeight="1" x14ac:dyDescent="0.4">
      <c r="B107" s="71"/>
      <c r="C107" s="465" t="s">
        <v>25</v>
      </c>
      <c r="D107" s="466"/>
      <c r="E107" s="466"/>
      <c r="F107" s="467"/>
      <c r="G107" s="468"/>
      <c r="H107" s="469"/>
      <c r="I107" s="469"/>
      <c r="J107" s="469"/>
      <c r="K107" s="469"/>
      <c r="L107" s="470"/>
      <c r="M107" s="55"/>
      <c r="N107" s="55"/>
      <c r="O107" s="54"/>
      <c r="P107" s="54"/>
      <c r="Q107" s="54"/>
      <c r="R107" s="54"/>
      <c r="S107" s="54"/>
      <c r="T107" s="54"/>
      <c r="U107" s="54"/>
      <c r="V107" s="54"/>
      <c r="W107" s="54"/>
      <c r="X107" s="54"/>
      <c r="Y107" s="54"/>
      <c r="Z107" s="485"/>
      <c r="AA107" s="486"/>
      <c r="AB107" s="486"/>
      <c r="AC107" s="486"/>
      <c r="AD107" s="486"/>
      <c r="AE107" s="486"/>
      <c r="AF107" s="486"/>
      <c r="AG107" s="486"/>
      <c r="AH107" s="486"/>
      <c r="AI107" s="486"/>
      <c r="AJ107" s="486"/>
      <c r="AK107" s="486"/>
      <c r="AL107" s="486"/>
      <c r="AM107" s="486"/>
      <c r="AN107" s="486"/>
      <c r="AO107" s="486"/>
      <c r="AP107" s="486"/>
      <c r="AQ107" s="486"/>
      <c r="AR107" s="486"/>
      <c r="AS107" s="487"/>
      <c r="AT107" s="73"/>
    </row>
    <row r="108" spans="1:48" ht="9.9499999999999993" customHeight="1" x14ac:dyDescent="0.4">
      <c r="B108" s="71"/>
      <c r="C108" s="55"/>
      <c r="D108" s="55"/>
      <c r="E108" s="55"/>
      <c r="F108" s="55"/>
      <c r="G108" s="55"/>
      <c r="H108" s="78"/>
      <c r="I108" s="55"/>
      <c r="J108" s="44"/>
      <c r="K108" s="44"/>
      <c r="L108" s="79"/>
      <c r="M108" s="55"/>
      <c r="N108" s="455" t="s">
        <v>22</v>
      </c>
      <c r="O108" s="456"/>
      <c r="P108" s="457"/>
      <c r="Q108" s="518">
        <f>IFERROR((total_produced-reworked_parts)/total_produced,0)</f>
        <v>0</v>
      </c>
      <c r="R108" s="519"/>
      <c r="S108" s="54"/>
      <c r="T108" s="536" t="s">
        <v>502</v>
      </c>
      <c r="U108" s="537"/>
      <c r="V108" s="538"/>
      <c r="W108" s="471">
        <f ca="1">_xlfn.LET(
  _xlpm.shift_time,
  IF(AND(Q5="X",WEEKDAY(E5,2)=2),430,IF(AND(Q5="X",WEEKDAY(E5,2)&lt;&gt;2),440,IF(AND(Q5="",R5="",S5=""),0,500))),
  _xlpm.break_downtime,
  SUMIF($T$14:$V$94,"Break",$K$14:$L$94),
  _xlpm.ideal_time,
  _xlpm.shift_time - _xlpm.break_downtime,
  _xlpm.efficiency_formula,
  IFERROR(_xlpm.ideal_time/_xlpm.shift_time,0),
  _xlpm.efficiency_formula
)</f>
        <v>0.9</v>
      </c>
      <c r="X108" s="472"/>
      <c r="Y108" s="54"/>
      <c r="Z108" s="485"/>
      <c r="AA108" s="486"/>
      <c r="AB108" s="486"/>
      <c r="AC108" s="486"/>
      <c r="AD108" s="486"/>
      <c r="AE108" s="486"/>
      <c r="AF108" s="486"/>
      <c r="AG108" s="486"/>
      <c r="AH108" s="486"/>
      <c r="AI108" s="486"/>
      <c r="AJ108" s="486"/>
      <c r="AK108" s="486"/>
      <c r="AL108" s="486"/>
      <c r="AM108" s="486"/>
      <c r="AN108" s="486"/>
      <c r="AO108" s="486"/>
      <c r="AP108" s="486"/>
      <c r="AQ108" s="486"/>
      <c r="AR108" s="486"/>
      <c r="AS108" s="487"/>
      <c r="AT108" s="73"/>
    </row>
    <row r="109" spans="1:48" ht="9.9499999999999993" customHeight="1" x14ac:dyDescent="0.4">
      <c r="B109" s="71"/>
      <c r="C109" s="465" t="s">
        <v>25</v>
      </c>
      <c r="D109" s="466"/>
      <c r="E109" s="466"/>
      <c r="F109" s="467"/>
      <c r="G109" s="468"/>
      <c r="H109" s="469"/>
      <c r="I109" s="469"/>
      <c r="J109" s="469"/>
      <c r="K109" s="469"/>
      <c r="L109" s="470"/>
      <c r="M109" s="55"/>
      <c r="N109" s="458"/>
      <c r="O109" s="459"/>
      <c r="P109" s="460"/>
      <c r="Q109" s="520"/>
      <c r="R109" s="521"/>
      <c r="S109" s="54"/>
      <c r="T109" s="539"/>
      <c r="U109" s="540"/>
      <c r="V109" s="541"/>
      <c r="W109" s="473"/>
      <c r="X109" s="474"/>
      <c r="Y109" s="54"/>
      <c r="Z109" s="485"/>
      <c r="AA109" s="486"/>
      <c r="AB109" s="486"/>
      <c r="AC109" s="486"/>
      <c r="AD109" s="486"/>
      <c r="AE109" s="486"/>
      <c r="AF109" s="486"/>
      <c r="AG109" s="486"/>
      <c r="AH109" s="486"/>
      <c r="AI109" s="486"/>
      <c r="AJ109" s="486"/>
      <c r="AK109" s="486"/>
      <c r="AL109" s="486"/>
      <c r="AM109" s="486"/>
      <c r="AN109" s="486"/>
      <c r="AO109" s="486"/>
      <c r="AP109" s="486"/>
      <c r="AQ109" s="486"/>
      <c r="AR109" s="486"/>
      <c r="AS109" s="487"/>
      <c r="AT109" s="73"/>
    </row>
    <row r="110" spans="1:48" ht="9.9499999999999993" customHeight="1" x14ac:dyDescent="0.4">
      <c r="B110" s="71"/>
      <c r="C110" s="77"/>
      <c r="D110" s="55"/>
      <c r="E110" s="55"/>
      <c r="F110" s="55"/>
      <c r="G110" s="55"/>
      <c r="H110" s="78"/>
      <c r="I110" s="55"/>
      <c r="J110" s="44"/>
      <c r="K110" s="44"/>
      <c r="L110" s="79"/>
      <c r="M110" s="55"/>
      <c r="N110" s="54"/>
      <c r="O110" s="54"/>
      <c r="P110" s="54"/>
      <c r="Q110" s="54"/>
      <c r="R110" s="54"/>
      <c r="S110" s="54"/>
      <c r="T110" s="54"/>
      <c r="U110" s="54"/>
      <c r="V110" s="54"/>
      <c r="W110" s="54"/>
      <c r="X110" s="54"/>
      <c r="Y110" s="54"/>
      <c r="Z110" s="485"/>
      <c r="AA110" s="486"/>
      <c r="AB110" s="486"/>
      <c r="AC110" s="486"/>
      <c r="AD110" s="486"/>
      <c r="AE110" s="486"/>
      <c r="AF110" s="486"/>
      <c r="AG110" s="486"/>
      <c r="AH110" s="486"/>
      <c r="AI110" s="486"/>
      <c r="AJ110" s="486"/>
      <c r="AK110" s="486"/>
      <c r="AL110" s="486"/>
      <c r="AM110" s="486"/>
      <c r="AN110" s="486"/>
      <c r="AO110" s="486"/>
      <c r="AP110" s="486"/>
      <c r="AQ110" s="486"/>
      <c r="AR110" s="486"/>
      <c r="AS110" s="487"/>
      <c r="AT110" s="73"/>
    </row>
    <row r="111" spans="1:48" ht="9.9499999999999993" customHeight="1" x14ac:dyDescent="0.4">
      <c r="B111" s="71"/>
      <c r="C111" s="465" t="s">
        <v>25</v>
      </c>
      <c r="D111" s="466"/>
      <c r="E111" s="466"/>
      <c r="F111" s="467"/>
      <c r="G111" s="468"/>
      <c r="H111" s="469"/>
      <c r="I111" s="469"/>
      <c r="J111" s="469"/>
      <c r="K111" s="469"/>
      <c r="L111" s="470"/>
      <c r="M111" s="72"/>
      <c r="N111" s="455" t="s">
        <v>1</v>
      </c>
      <c r="O111" s="456"/>
      <c r="P111" s="457"/>
      <c r="Q111" s="522">
        <f>IF(total_produced = 0, 0, unplanned_downtime + planned_downtime - SUMIF($T$14:$V$94, "No_Production", $M$14:$M$94))</f>
        <v>0</v>
      </c>
      <c r="R111" s="523"/>
      <c r="S111" s="54"/>
      <c r="T111" s="536" t="s">
        <v>31</v>
      </c>
      <c r="U111" s="537"/>
      <c r="V111" s="538"/>
      <c r="W111" s="532" cm="1">
        <f t="array" aca="1" ref="W111" ca="1">IFERROR(INDIRECT(nome_kpis_sol1 &amp; "cycle_time"),"-")</f>
        <v>316</v>
      </c>
      <c r="X111" s="533"/>
      <c r="Y111" s="54"/>
      <c r="Z111" s="485"/>
      <c r="AA111" s="486"/>
      <c r="AB111" s="486"/>
      <c r="AC111" s="486"/>
      <c r="AD111" s="486"/>
      <c r="AE111" s="486"/>
      <c r="AF111" s="486"/>
      <c r="AG111" s="486"/>
      <c r="AH111" s="486"/>
      <c r="AI111" s="486"/>
      <c r="AJ111" s="486"/>
      <c r="AK111" s="486"/>
      <c r="AL111" s="486"/>
      <c r="AM111" s="486"/>
      <c r="AN111" s="486"/>
      <c r="AO111" s="486"/>
      <c r="AP111" s="486"/>
      <c r="AQ111" s="486"/>
      <c r="AR111" s="486"/>
      <c r="AS111" s="487"/>
      <c r="AT111" s="80"/>
    </row>
    <row r="112" spans="1:48" ht="9.9499999999999993" customHeight="1" x14ac:dyDescent="0.4">
      <c r="B112" s="54"/>
      <c r="C112" s="54"/>
      <c r="D112" s="54"/>
      <c r="E112" s="54"/>
      <c r="F112" s="81"/>
      <c r="G112" s="54"/>
      <c r="H112" s="54"/>
      <c r="I112" s="54"/>
      <c r="J112" s="54"/>
      <c r="K112" s="54"/>
      <c r="L112" s="54"/>
      <c r="M112" s="72"/>
      <c r="N112" s="458"/>
      <c r="O112" s="459"/>
      <c r="P112" s="460"/>
      <c r="Q112" s="524"/>
      <c r="R112" s="525"/>
      <c r="S112" s="54"/>
      <c r="T112" s="539"/>
      <c r="U112" s="540"/>
      <c r="V112" s="541"/>
      <c r="W112" s="534"/>
      <c r="X112" s="535"/>
      <c r="Y112" s="54"/>
      <c r="Z112" s="485"/>
      <c r="AA112" s="486"/>
      <c r="AB112" s="486"/>
      <c r="AC112" s="486"/>
      <c r="AD112" s="486"/>
      <c r="AE112" s="486"/>
      <c r="AF112" s="486"/>
      <c r="AG112" s="486"/>
      <c r="AH112" s="486"/>
      <c r="AI112" s="486"/>
      <c r="AJ112" s="486"/>
      <c r="AK112" s="486"/>
      <c r="AL112" s="486"/>
      <c r="AM112" s="486"/>
      <c r="AN112" s="486"/>
      <c r="AO112" s="486"/>
      <c r="AP112" s="486"/>
      <c r="AQ112" s="486"/>
      <c r="AR112" s="486"/>
      <c r="AS112" s="487"/>
      <c r="AT112" s="54"/>
    </row>
    <row r="113" spans="2:46" ht="9.9499999999999993" customHeight="1" x14ac:dyDescent="0.4">
      <c r="B113" s="54"/>
      <c r="C113" s="465" t="s">
        <v>25</v>
      </c>
      <c r="D113" s="466"/>
      <c r="E113" s="466"/>
      <c r="F113" s="467"/>
      <c r="G113" s="468"/>
      <c r="H113" s="469"/>
      <c r="I113" s="469"/>
      <c r="J113" s="469"/>
      <c r="K113" s="469"/>
      <c r="L113" s="470"/>
      <c r="M113" s="72"/>
      <c r="N113" s="54"/>
      <c r="O113" s="54"/>
      <c r="P113" s="54"/>
      <c r="Q113" s="54"/>
      <c r="R113" s="54"/>
      <c r="S113" s="54"/>
      <c r="T113" s="54"/>
      <c r="U113" s="54"/>
      <c r="V113" s="54"/>
      <c r="W113" s="54"/>
      <c r="X113" s="54"/>
      <c r="Y113" s="54"/>
      <c r="Z113" s="485"/>
      <c r="AA113" s="486"/>
      <c r="AB113" s="486"/>
      <c r="AC113" s="486"/>
      <c r="AD113" s="486"/>
      <c r="AE113" s="486"/>
      <c r="AF113" s="486"/>
      <c r="AG113" s="486"/>
      <c r="AH113" s="486"/>
      <c r="AI113" s="486"/>
      <c r="AJ113" s="486"/>
      <c r="AK113" s="486"/>
      <c r="AL113" s="486"/>
      <c r="AM113" s="486"/>
      <c r="AN113" s="486"/>
      <c r="AO113" s="486"/>
      <c r="AP113" s="486"/>
      <c r="AQ113" s="486"/>
      <c r="AR113" s="486"/>
      <c r="AS113" s="487"/>
      <c r="AT113" s="54"/>
    </row>
    <row r="114" spans="2:46" ht="9.9499999999999993" customHeight="1" x14ac:dyDescent="0.4">
      <c r="B114" s="54"/>
      <c r="C114" s="54"/>
      <c r="D114" s="54"/>
      <c r="E114" s="54"/>
      <c r="F114" s="81"/>
      <c r="G114" s="54"/>
      <c r="H114" s="54"/>
      <c r="I114" s="54"/>
      <c r="J114" s="54"/>
      <c r="K114" s="54"/>
      <c r="L114" s="54"/>
      <c r="M114" s="72"/>
      <c r="N114" s="455" t="s">
        <v>506</v>
      </c>
      <c r="O114" s="456"/>
      <c r="P114" s="457"/>
      <c r="Q114" s="526" t="str">
        <f>SUBSTITUTE(
  IF(
    OR(E12="",E12=" ",E12="-",E12="- ",E12=" -",E12=" - ",E12=0),
    SUBSTITUTE(LOWER(AH2)," ","_") &amp; "_",
    SUBSTITUTE(LOWER(AH2)," ","_") &amp; "_" &amp; LOWER(E12) &amp; "_"
  ),
  "-",""
)</f>
        <v>mercedez_gle_580_rear_bumper_line_1_a_</v>
      </c>
      <c r="R114" s="527"/>
      <c r="S114" s="527"/>
      <c r="T114" s="527"/>
      <c r="U114" s="527"/>
      <c r="V114" s="527"/>
      <c r="W114" s="527"/>
      <c r="X114" s="528"/>
      <c r="Y114" s="54"/>
      <c r="Z114" s="485"/>
      <c r="AA114" s="486"/>
      <c r="AB114" s="486"/>
      <c r="AC114" s="486"/>
      <c r="AD114" s="486"/>
      <c r="AE114" s="486"/>
      <c r="AF114" s="486"/>
      <c r="AG114" s="486"/>
      <c r="AH114" s="486"/>
      <c r="AI114" s="486"/>
      <c r="AJ114" s="486"/>
      <c r="AK114" s="486"/>
      <c r="AL114" s="486"/>
      <c r="AM114" s="486"/>
      <c r="AN114" s="486"/>
      <c r="AO114" s="486"/>
      <c r="AP114" s="486"/>
      <c r="AQ114" s="486"/>
      <c r="AR114" s="486"/>
      <c r="AS114" s="487"/>
      <c r="AT114" s="54"/>
    </row>
    <row r="115" spans="2:46" ht="9.9499999999999993" customHeight="1" x14ac:dyDescent="0.4">
      <c r="B115" s="54"/>
      <c r="C115" s="465" t="s">
        <v>25</v>
      </c>
      <c r="D115" s="466"/>
      <c r="E115" s="466"/>
      <c r="F115" s="467"/>
      <c r="G115" s="468"/>
      <c r="H115" s="469"/>
      <c r="I115" s="469"/>
      <c r="J115" s="469"/>
      <c r="K115" s="469"/>
      <c r="L115" s="470"/>
      <c r="M115" s="72"/>
      <c r="N115" s="458"/>
      <c r="O115" s="459"/>
      <c r="P115" s="460"/>
      <c r="Q115" s="529"/>
      <c r="R115" s="530"/>
      <c r="S115" s="530"/>
      <c r="T115" s="530"/>
      <c r="U115" s="530"/>
      <c r="V115" s="530"/>
      <c r="W115" s="530"/>
      <c r="X115" s="531"/>
      <c r="Y115" s="54"/>
      <c r="Z115" s="488"/>
      <c r="AA115" s="489"/>
      <c r="AB115" s="489"/>
      <c r="AC115" s="489"/>
      <c r="AD115" s="489"/>
      <c r="AE115" s="489"/>
      <c r="AF115" s="489"/>
      <c r="AG115" s="489"/>
      <c r="AH115" s="489"/>
      <c r="AI115" s="489"/>
      <c r="AJ115" s="489"/>
      <c r="AK115" s="489"/>
      <c r="AL115" s="489"/>
      <c r="AM115" s="489"/>
      <c r="AN115" s="489"/>
      <c r="AO115" s="489"/>
      <c r="AP115" s="489"/>
      <c r="AQ115" s="489"/>
      <c r="AR115" s="489"/>
      <c r="AS115" s="490"/>
      <c r="AT115" s="54"/>
    </row>
    <row r="116" spans="2:46" ht="9.9499999999999993" customHeight="1" x14ac:dyDescent="0.4">
      <c r="B116" s="54"/>
      <c r="C116" s="82"/>
      <c r="D116" s="54"/>
      <c r="E116" s="54"/>
      <c r="F116" s="54"/>
      <c r="G116" s="54"/>
      <c r="H116" s="54"/>
      <c r="I116" s="54"/>
      <c r="J116" s="54"/>
      <c r="K116" s="54"/>
      <c r="L116" s="54"/>
      <c r="M116" s="72"/>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73"/>
    </row>
  </sheetData>
  <sheetProtection algorithmName="SHA-512" hashValue="uJA87Wdqq3oERWt7ziKL2BmU+LPsSTBHtsj8SuaSldS+5uH/SwmB/w92hcqv8Ceq5fnz5pTMfSrrinvIbhRyNA==" saltValue="Ym9qIdx/6ZtfqaraL430yg==" spinCount="100000" sheet="1" objects="1" scenarios="1" selectLockedCells="1"/>
  <dataConsolidate/>
  <mergeCells count="692">
    <mergeCell ref="C113:F113"/>
    <mergeCell ref="C115:F115"/>
    <mergeCell ref="G109:L109"/>
    <mergeCell ref="G103:L103"/>
    <mergeCell ref="N105:P106"/>
    <mergeCell ref="Q105:R106"/>
    <mergeCell ref="C105:F105"/>
    <mergeCell ref="G111:L111"/>
    <mergeCell ref="G113:L113"/>
    <mergeCell ref="G115:L115"/>
    <mergeCell ref="Q108:R109"/>
    <mergeCell ref="Q111:R112"/>
    <mergeCell ref="N108:P109"/>
    <mergeCell ref="N114:P115"/>
    <mergeCell ref="Q114:X115"/>
    <mergeCell ref="C107:F107"/>
    <mergeCell ref="C109:F109"/>
    <mergeCell ref="C111:F111"/>
    <mergeCell ref="W111:X112"/>
    <mergeCell ref="T111:V112"/>
    <mergeCell ref="T105:V106"/>
    <mergeCell ref="T108:V109"/>
    <mergeCell ref="W108:X109"/>
    <mergeCell ref="W105:X106"/>
    <mergeCell ref="Z99:AS115"/>
    <mergeCell ref="G105:L105"/>
    <mergeCell ref="G107:L107"/>
    <mergeCell ref="N111:P112"/>
    <mergeCell ref="T93:V93"/>
    <mergeCell ref="W93:Y93"/>
    <mergeCell ref="Z93:AS93"/>
    <mergeCell ref="I94:J94"/>
    <mergeCell ref="K94:L94"/>
    <mergeCell ref="N94:P94"/>
    <mergeCell ref="Q94:S94"/>
    <mergeCell ref="T94:V94"/>
    <mergeCell ref="W94:Y94"/>
    <mergeCell ref="Z94:AS94"/>
    <mergeCell ref="Z96:AS97"/>
    <mergeCell ref="G95:H96"/>
    <mergeCell ref="I95:J96"/>
    <mergeCell ref="K95:L96"/>
    <mergeCell ref="C98:L99"/>
    <mergeCell ref="N96:X97"/>
    <mergeCell ref="Q102:R103"/>
    <mergeCell ref="N102:P103"/>
    <mergeCell ref="C103:F103"/>
    <mergeCell ref="W99:X100"/>
    <mergeCell ref="N99:P100"/>
    <mergeCell ref="Q99:R100"/>
    <mergeCell ref="T99:V100"/>
    <mergeCell ref="C101:F101"/>
    <mergeCell ref="G101:L101"/>
    <mergeCell ref="W102:X103"/>
    <mergeCell ref="E93:F94"/>
    <mergeCell ref="G93:H94"/>
    <mergeCell ref="I93:J93"/>
    <mergeCell ref="K93:L93"/>
    <mergeCell ref="N93:P93"/>
    <mergeCell ref="Q93:S93"/>
    <mergeCell ref="T102:V103"/>
    <mergeCell ref="E86:F92"/>
    <mergeCell ref="G86:H92"/>
    <mergeCell ref="I86:J86"/>
    <mergeCell ref="K86:L86"/>
    <mergeCell ref="N86:P86"/>
    <mergeCell ref="I89:J89"/>
    <mergeCell ref="K89:L89"/>
    <mergeCell ref="N89:P89"/>
    <mergeCell ref="Q90:S90"/>
    <mergeCell ref="T90:V90"/>
    <mergeCell ref="W90:Y90"/>
    <mergeCell ref="T92:V92"/>
    <mergeCell ref="W92:Y92"/>
    <mergeCell ref="Z92:AS92"/>
    <mergeCell ref="Z90:AS90"/>
    <mergeCell ref="I91:J91"/>
    <mergeCell ref="K91:L91"/>
    <mergeCell ref="N91:P91"/>
    <mergeCell ref="Q91:S91"/>
    <mergeCell ref="T91:V91"/>
    <mergeCell ref="W91:Y91"/>
    <mergeCell ref="Z91:AS91"/>
    <mergeCell ref="I92:J92"/>
    <mergeCell ref="I90:J90"/>
    <mergeCell ref="K90:L90"/>
    <mergeCell ref="N90:P90"/>
    <mergeCell ref="K92:L92"/>
    <mergeCell ref="N92:P92"/>
    <mergeCell ref="Q92:S92"/>
    <mergeCell ref="C86:D89"/>
    <mergeCell ref="C90:D94"/>
    <mergeCell ref="Z87:AS87"/>
    <mergeCell ref="I88:J88"/>
    <mergeCell ref="K88:L88"/>
    <mergeCell ref="N88:P88"/>
    <mergeCell ref="Q88:S88"/>
    <mergeCell ref="T88:V88"/>
    <mergeCell ref="W88:Y88"/>
    <mergeCell ref="Z88:AS88"/>
    <mergeCell ref="Q86:S86"/>
    <mergeCell ref="T86:V86"/>
    <mergeCell ref="W86:Y86"/>
    <mergeCell ref="Z86:AS86"/>
    <mergeCell ref="I87:J87"/>
    <mergeCell ref="K87:L87"/>
    <mergeCell ref="N87:P87"/>
    <mergeCell ref="Q87:S87"/>
    <mergeCell ref="T87:V87"/>
    <mergeCell ref="W87:Y87"/>
    <mergeCell ref="Q89:S89"/>
    <mergeCell ref="T89:V89"/>
    <mergeCell ref="W89:Y89"/>
    <mergeCell ref="Z89:AS89"/>
    <mergeCell ref="T84:V84"/>
    <mergeCell ref="W84:Y84"/>
    <mergeCell ref="Z84:AS84"/>
    <mergeCell ref="I85:J85"/>
    <mergeCell ref="K85:L85"/>
    <mergeCell ref="N85:P85"/>
    <mergeCell ref="Q85:S85"/>
    <mergeCell ref="T85:V85"/>
    <mergeCell ref="W85:Y85"/>
    <mergeCell ref="Z85:AS85"/>
    <mergeCell ref="E84:F85"/>
    <mergeCell ref="G84:H85"/>
    <mergeCell ref="I84:J84"/>
    <mergeCell ref="K84:L84"/>
    <mergeCell ref="N84:P84"/>
    <mergeCell ref="Q84:S84"/>
    <mergeCell ref="K83:L83"/>
    <mergeCell ref="N83:P83"/>
    <mergeCell ref="Q83:S83"/>
    <mergeCell ref="E77:F83"/>
    <mergeCell ref="G77:H83"/>
    <mergeCell ref="I77:J77"/>
    <mergeCell ref="K77:L77"/>
    <mergeCell ref="N77:P77"/>
    <mergeCell ref="I80:J80"/>
    <mergeCell ref="K80:L80"/>
    <mergeCell ref="N80:P80"/>
    <mergeCell ref="Q81:S81"/>
    <mergeCell ref="T81:V81"/>
    <mergeCell ref="W81:Y81"/>
    <mergeCell ref="T83:V83"/>
    <mergeCell ref="W83:Y83"/>
    <mergeCell ref="Z83:AS83"/>
    <mergeCell ref="Z81:AS81"/>
    <mergeCell ref="I82:J82"/>
    <mergeCell ref="K82:L82"/>
    <mergeCell ref="N82:P82"/>
    <mergeCell ref="Q82:S82"/>
    <mergeCell ref="T82:V82"/>
    <mergeCell ref="W82:Y82"/>
    <mergeCell ref="Z82:AS82"/>
    <mergeCell ref="I83:J83"/>
    <mergeCell ref="I81:J81"/>
    <mergeCell ref="K81:L81"/>
    <mergeCell ref="N81:P81"/>
    <mergeCell ref="C77:D80"/>
    <mergeCell ref="C81:D85"/>
    <mergeCell ref="Z78:AS78"/>
    <mergeCell ref="I79:J79"/>
    <mergeCell ref="K79:L79"/>
    <mergeCell ref="N79:P79"/>
    <mergeCell ref="Q79:S79"/>
    <mergeCell ref="T79:V79"/>
    <mergeCell ref="W79:Y79"/>
    <mergeCell ref="Z79:AS79"/>
    <mergeCell ref="Q77:S77"/>
    <mergeCell ref="T77:V77"/>
    <mergeCell ref="W77:Y77"/>
    <mergeCell ref="Z77:AS77"/>
    <mergeCell ref="I78:J78"/>
    <mergeCell ref="K78:L78"/>
    <mergeCell ref="N78:P78"/>
    <mergeCell ref="Q78:S78"/>
    <mergeCell ref="T78:V78"/>
    <mergeCell ref="W78:Y78"/>
    <mergeCell ref="Q80:S80"/>
    <mergeCell ref="T80:V80"/>
    <mergeCell ref="W80:Y80"/>
    <mergeCell ref="Z80:AS80"/>
    <mergeCell ref="T75:V75"/>
    <mergeCell ref="W75:Y75"/>
    <mergeCell ref="Z75:AS75"/>
    <mergeCell ref="I76:J76"/>
    <mergeCell ref="K76:L76"/>
    <mergeCell ref="N76:P76"/>
    <mergeCell ref="Q76:S76"/>
    <mergeCell ref="T76:V76"/>
    <mergeCell ref="W76:Y76"/>
    <mergeCell ref="Z76:AS76"/>
    <mergeCell ref="E75:F76"/>
    <mergeCell ref="G75:H76"/>
    <mergeCell ref="I75:J75"/>
    <mergeCell ref="K75:L75"/>
    <mergeCell ref="N75:P75"/>
    <mergeCell ref="Q75:S75"/>
    <mergeCell ref="K74:L74"/>
    <mergeCell ref="N74:P74"/>
    <mergeCell ref="Q74:S74"/>
    <mergeCell ref="E68:F74"/>
    <mergeCell ref="G68:H74"/>
    <mergeCell ref="I68:J68"/>
    <mergeCell ref="K68:L68"/>
    <mergeCell ref="N68:P68"/>
    <mergeCell ref="I71:J71"/>
    <mergeCell ref="K71:L71"/>
    <mergeCell ref="N71:P71"/>
    <mergeCell ref="Q72:S72"/>
    <mergeCell ref="T72:V72"/>
    <mergeCell ref="W72:Y72"/>
    <mergeCell ref="T74:V74"/>
    <mergeCell ref="W74:Y74"/>
    <mergeCell ref="Z74:AS74"/>
    <mergeCell ref="Z72:AS72"/>
    <mergeCell ref="I73:J73"/>
    <mergeCell ref="K73:L73"/>
    <mergeCell ref="N73:P73"/>
    <mergeCell ref="Q73:S73"/>
    <mergeCell ref="T73:V73"/>
    <mergeCell ref="W73:Y73"/>
    <mergeCell ref="Z73:AS73"/>
    <mergeCell ref="I74:J74"/>
    <mergeCell ref="I72:J72"/>
    <mergeCell ref="K72:L72"/>
    <mergeCell ref="N72:P72"/>
    <mergeCell ref="C68:D71"/>
    <mergeCell ref="C72:D76"/>
    <mergeCell ref="Z69:AS69"/>
    <mergeCell ref="I70:J70"/>
    <mergeCell ref="K70:L70"/>
    <mergeCell ref="N70:P70"/>
    <mergeCell ref="Q70:S70"/>
    <mergeCell ref="T70:V70"/>
    <mergeCell ref="W70:Y70"/>
    <mergeCell ref="Z70:AS70"/>
    <mergeCell ref="Q68:S68"/>
    <mergeCell ref="T68:V68"/>
    <mergeCell ref="W68:Y68"/>
    <mergeCell ref="Z68:AS68"/>
    <mergeCell ref="I69:J69"/>
    <mergeCell ref="K69:L69"/>
    <mergeCell ref="N69:P69"/>
    <mergeCell ref="Q69:S69"/>
    <mergeCell ref="T69:V69"/>
    <mergeCell ref="W69:Y69"/>
    <mergeCell ref="Q71:S71"/>
    <mergeCell ref="T71:V71"/>
    <mergeCell ref="W71:Y71"/>
    <mergeCell ref="Z71:AS71"/>
    <mergeCell ref="T66:V66"/>
    <mergeCell ref="W66:Y66"/>
    <mergeCell ref="Z66:AS66"/>
    <mergeCell ref="I67:J67"/>
    <mergeCell ref="K67:L67"/>
    <mergeCell ref="N67:P67"/>
    <mergeCell ref="Q67:S67"/>
    <mergeCell ref="T67:V67"/>
    <mergeCell ref="W67:Y67"/>
    <mergeCell ref="Z67:AS67"/>
    <mergeCell ref="E66:F67"/>
    <mergeCell ref="G66:H67"/>
    <mergeCell ref="I66:J66"/>
    <mergeCell ref="K66:L66"/>
    <mergeCell ref="N66:P66"/>
    <mergeCell ref="Q66:S66"/>
    <mergeCell ref="K65:L65"/>
    <mergeCell ref="N65:P65"/>
    <mergeCell ref="Q65:S65"/>
    <mergeCell ref="E59:F65"/>
    <mergeCell ref="G59:H65"/>
    <mergeCell ref="I59:J59"/>
    <mergeCell ref="K59:L59"/>
    <mergeCell ref="N59:P59"/>
    <mergeCell ref="I62:J62"/>
    <mergeCell ref="K62:L62"/>
    <mergeCell ref="N62:P62"/>
    <mergeCell ref="Q63:S63"/>
    <mergeCell ref="T63:V63"/>
    <mergeCell ref="W63:Y63"/>
    <mergeCell ref="T65:V65"/>
    <mergeCell ref="W65:Y65"/>
    <mergeCell ref="Z65:AS65"/>
    <mergeCell ref="Z63:AS63"/>
    <mergeCell ref="I64:J64"/>
    <mergeCell ref="K64:L64"/>
    <mergeCell ref="N64:P64"/>
    <mergeCell ref="Q64:S64"/>
    <mergeCell ref="T64:V64"/>
    <mergeCell ref="W64:Y64"/>
    <mergeCell ref="Z64:AS64"/>
    <mergeCell ref="I65:J65"/>
    <mergeCell ref="I63:J63"/>
    <mergeCell ref="K63:L63"/>
    <mergeCell ref="N63:P63"/>
    <mergeCell ref="C59:D62"/>
    <mergeCell ref="C63:D67"/>
    <mergeCell ref="Z60:AS60"/>
    <mergeCell ref="I61:J61"/>
    <mergeCell ref="K61:L61"/>
    <mergeCell ref="N61:P61"/>
    <mergeCell ref="Q61:S61"/>
    <mergeCell ref="T61:V61"/>
    <mergeCell ref="W61:Y61"/>
    <mergeCell ref="Z61:AS61"/>
    <mergeCell ref="Q59:S59"/>
    <mergeCell ref="T59:V59"/>
    <mergeCell ref="W59:Y59"/>
    <mergeCell ref="Z59:AS59"/>
    <mergeCell ref="I60:J60"/>
    <mergeCell ref="K60:L60"/>
    <mergeCell ref="N60:P60"/>
    <mergeCell ref="Q60:S60"/>
    <mergeCell ref="T60:V60"/>
    <mergeCell ref="W60:Y60"/>
    <mergeCell ref="Q62:S62"/>
    <mergeCell ref="T62:V62"/>
    <mergeCell ref="W62:Y62"/>
    <mergeCell ref="Z62:AS62"/>
    <mergeCell ref="T57:V57"/>
    <mergeCell ref="W57:Y57"/>
    <mergeCell ref="Z57:AS57"/>
    <mergeCell ref="I58:J58"/>
    <mergeCell ref="K58:L58"/>
    <mergeCell ref="N58:P58"/>
    <mergeCell ref="Q58:S58"/>
    <mergeCell ref="T58:V58"/>
    <mergeCell ref="W58:Y58"/>
    <mergeCell ref="Z58:AS58"/>
    <mergeCell ref="E57:F58"/>
    <mergeCell ref="G57:H58"/>
    <mergeCell ref="I57:J57"/>
    <mergeCell ref="K57:L57"/>
    <mergeCell ref="N57:P57"/>
    <mergeCell ref="Q57:S57"/>
    <mergeCell ref="K56:L56"/>
    <mergeCell ref="N56:P56"/>
    <mergeCell ref="Q56:S56"/>
    <mergeCell ref="E50:F56"/>
    <mergeCell ref="G50:H56"/>
    <mergeCell ref="I50:J50"/>
    <mergeCell ref="K50:L50"/>
    <mergeCell ref="N50:P50"/>
    <mergeCell ref="I53:J53"/>
    <mergeCell ref="K53:L53"/>
    <mergeCell ref="N53:P53"/>
    <mergeCell ref="Q54:S54"/>
    <mergeCell ref="T54:V54"/>
    <mergeCell ref="W54:Y54"/>
    <mergeCell ref="T56:V56"/>
    <mergeCell ref="W56:Y56"/>
    <mergeCell ref="Z56:AS56"/>
    <mergeCell ref="Z54:AS54"/>
    <mergeCell ref="I55:J55"/>
    <mergeCell ref="K55:L55"/>
    <mergeCell ref="N55:P55"/>
    <mergeCell ref="Q55:S55"/>
    <mergeCell ref="T55:V55"/>
    <mergeCell ref="W55:Y55"/>
    <mergeCell ref="Z55:AS55"/>
    <mergeCell ref="I56:J56"/>
    <mergeCell ref="I54:J54"/>
    <mergeCell ref="K54:L54"/>
    <mergeCell ref="N54:P54"/>
    <mergeCell ref="C50:D53"/>
    <mergeCell ref="C54:D58"/>
    <mergeCell ref="Z51:AS51"/>
    <mergeCell ref="I52:J52"/>
    <mergeCell ref="K52:L52"/>
    <mergeCell ref="N52:P52"/>
    <mergeCell ref="Q52:S52"/>
    <mergeCell ref="T52:V52"/>
    <mergeCell ref="W52:Y52"/>
    <mergeCell ref="Z52:AS52"/>
    <mergeCell ref="Q50:S50"/>
    <mergeCell ref="T50:V50"/>
    <mergeCell ref="W50:Y50"/>
    <mergeCell ref="Z50:AS50"/>
    <mergeCell ref="I51:J51"/>
    <mergeCell ref="K51:L51"/>
    <mergeCell ref="N51:P51"/>
    <mergeCell ref="Q51:S51"/>
    <mergeCell ref="T51:V51"/>
    <mergeCell ref="W51:Y51"/>
    <mergeCell ref="Q53:S53"/>
    <mergeCell ref="T53:V53"/>
    <mergeCell ref="W53:Y53"/>
    <mergeCell ref="Z53:AS53"/>
    <mergeCell ref="T48:V48"/>
    <mergeCell ref="W48:Y48"/>
    <mergeCell ref="Z48:AS48"/>
    <mergeCell ref="I49:J49"/>
    <mergeCell ref="K49:L49"/>
    <mergeCell ref="N49:P49"/>
    <mergeCell ref="Q49:S49"/>
    <mergeCell ref="T49:V49"/>
    <mergeCell ref="W49:Y49"/>
    <mergeCell ref="Z49:AS49"/>
    <mergeCell ref="E48:F49"/>
    <mergeCell ref="G48:H49"/>
    <mergeCell ref="I48:J48"/>
    <mergeCell ref="K48:L48"/>
    <mergeCell ref="N48:P48"/>
    <mergeCell ref="Q48:S48"/>
    <mergeCell ref="K47:L47"/>
    <mergeCell ref="N47:P47"/>
    <mergeCell ref="Q47:S47"/>
    <mergeCell ref="E41:F47"/>
    <mergeCell ref="G41:H47"/>
    <mergeCell ref="I41:J41"/>
    <mergeCell ref="K41:L41"/>
    <mergeCell ref="N41:P41"/>
    <mergeCell ref="I44:J44"/>
    <mergeCell ref="K44:L44"/>
    <mergeCell ref="N44:P44"/>
    <mergeCell ref="Q45:S45"/>
    <mergeCell ref="T45:V45"/>
    <mergeCell ref="W45:Y45"/>
    <mergeCell ref="T47:V47"/>
    <mergeCell ref="W47:Y47"/>
    <mergeCell ref="Z47:AS47"/>
    <mergeCell ref="Z45:AS45"/>
    <mergeCell ref="I46:J46"/>
    <mergeCell ref="K46:L46"/>
    <mergeCell ref="N46:P46"/>
    <mergeCell ref="Q46:S46"/>
    <mergeCell ref="T46:V46"/>
    <mergeCell ref="W46:Y46"/>
    <mergeCell ref="Z46:AS46"/>
    <mergeCell ref="I47:J47"/>
    <mergeCell ref="I45:J45"/>
    <mergeCell ref="K45:L45"/>
    <mergeCell ref="N45:P45"/>
    <mergeCell ref="C41:D44"/>
    <mergeCell ref="C45:D49"/>
    <mergeCell ref="Z42:AS42"/>
    <mergeCell ref="I43:J43"/>
    <mergeCell ref="K43:L43"/>
    <mergeCell ref="N43:P43"/>
    <mergeCell ref="Q43:S43"/>
    <mergeCell ref="T43:V43"/>
    <mergeCell ref="W43:Y43"/>
    <mergeCell ref="Z43:AS43"/>
    <mergeCell ref="Q41:S41"/>
    <mergeCell ref="T41:V41"/>
    <mergeCell ref="W41:Y41"/>
    <mergeCell ref="Z41:AS41"/>
    <mergeCell ref="I42:J42"/>
    <mergeCell ref="K42:L42"/>
    <mergeCell ref="N42:P42"/>
    <mergeCell ref="Q42:S42"/>
    <mergeCell ref="T42:V42"/>
    <mergeCell ref="W42:Y42"/>
    <mergeCell ref="Q44:S44"/>
    <mergeCell ref="T44:V44"/>
    <mergeCell ref="W44:Y44"/>
    <mergeCell ref="Z44:AS44"/>
    <mergeCell ref="Z39:AS39"/>
    <mergeCell ref="I40:J40"/>
    <mergeCell ref="K40:L40"/>
    <mergeCell ref="N40:P40"/>
    <mergeCell ref="Q40:S40"/>
    <mergeCell ref="T40:V40"/>
    <mergeCell ref="W40:Y40"/>
    <mergeCell ref="Z40:AS40"/>
    <mergeCell ref="T39:V39"/>
    <mergeCell ref="Q39:S39"/>
    <mergeCell ref="W39:Y39"/>
    <mergeCell ref="K38:L38"/>
    <mergeCell ref="N38:P38"/>
    <mergeCell ref="Q38:S38"/>
    <mergeCell ref="E32:F38"/>
    <mergeCell ref="G32:H38"/>
    <mergeCell ref="I32:J32"/>
    <mergeCell ref="K32:L32"/>
    <mergeCell ref="I35:J35"/>
    <mergeCell ref="K35:L35"/>
    <mergeCell ref="N35:P35"/>
    <mergeCell ref="I38:J38"/>
    <mergeCell ref="I36:J36"/>
    <mergeCell ref="K36:L36"/>
    <mergeCell ref="N36:P36"/>
    <mergeCell ref="I37:J37"/>
    <mergeCell ref="K37:L37"/>
    <mergeCell ref="N37:P37"/>
    <mergeCell ref="C36:D40"/>
    <mergeCell ref="Z33:AS33"/>
    <mergeCell ref="I34:J34"/>
    <mergeCell ref="K34:L34"/>
    <mergeCell ref="N34:P34"/>
    <mergeCell ref="Q34:S34"/>
    <mergeCell ref="T34:V34"/>
    <mergeCell ref="W34:Y34"/>
    <mergeCell ref="Z34:AS34"/>
    <mergeCell ref="I33:J33"/>
    <mergeCell ref="K33:L33"/>
    <mergeCell ref="N33:P33"/>
    <mergeCell ref="Q33:S33"/>
    <mergeCell ref="T33:V33"/>
    <mergeCell ref="W33:Y33"/>
    <mergeCell ref="Q35:S35"/>
    <mergeCell ref="T35:V35"/>
    <mergeCell ref="W35:Y35"/>
    <mergeCell ref="Z35:AS35"/>
    <mergeCell ref="E39:F40"/>
    <mergeCell ref="G39:H40"/>
    <mergeCell ref="I39:J39"/>
    <mergeCell ref="K39:L39"/>
    <mergeCell ref="N39:P39"/>
    <mergeCell ref="C32:D35"/>
    <mergeCell ref="Q32:S32"/>
    <mergeCell ref="T32:V32"/>
    <mergeCell ref="W32:Y32"/>
    <mergeCell ref="Z32:AS32"/>
    <mergeCell ref="E30:F31"/>
    <mergeCell ref="G30:H31"/>
    <mergeCell ref="I30:J30"/>
    <mergeCell ref="K30:L30"/>
    <mergeCell ref="N30:P30"/>
    <mergeCell ref="Q30:S30"/>
    <mergeCell ref="Z29:AS29"/>
    <mergeCell ref="K26:L26"/>
    <mergeCell ref="N26:P26"/>
    <mergeCell ref="T30:V30"/>
    <mergeCell ref="W30:Y30"/>
    <mergeCell ref="Z30:AS30"/>
    <mergeCell ref="I31:J31"/>
    <mergeCell ref="K31:L31"/>
    <mergeCell ref="N31:P31"/>
    <mergeCell ref="Q31:S31"/>
    <mergeCell ref="T31:V31"/>
    <mergeCell ref="C23:D26"/>
    <mergeCell ref="C27:D31"/>
    <mergeCell ref="Z24:AS24"/>
    <mergeCell ref="I25:J25"/>
    <mergeCell ref="K25:L25"/>
    <mergeCell ref="N25:P25"/>
    <mergeCell ref="Q25:S25"/>
    <mergeCell ref="T25:V25"/>
    <mergeCell ref="W25:Y25"/>
    <mergeCell ref="Z25:AS25"/>
    <mergeCell ref="Q23:S23"/>
    <mergeCell ref="T23:V23"/>
    <mergeCell ref="W23:Y23"/>
    <mergeCell ref="Z23:AS23"/>
    <mergeCell ref="I24:J24"/>
    <mergeCell ref="K24:L24"/>
    <mergeCell ref="N24:P24"/>
    <mergeCell ref="Q24:S24"/>
    <mergeCell ref="E23:F29"/>
    <mergeCell ref="G23:H29"/>
    <mergeCell ref="I23:J23"/>
    <mergeCell ref="K23:L23"/>
    <mergeCell ref="N23:P23"/>
    <mergeCell ref="I26:J26"/>
    <mergeCell ref="I19:J19"/>
    <mergeCell ref="K19:L19"/>
    <mergeCell ref="N19:P19"/>
    <mergeCell ref="Q19:S19"/>
    <mergeCell ref="T19:V19"/>
    <mergeCell ref="W19:Y19"/>
    <mergeCell ref="I29:J29"/>
    <mergeCell ref="I27:J27"/>
    <mergeCell ref="K27:L27"/>
    <mergeCell ref="N27:P27"/>
    <mergeCell ref="T21:V21"/>
    <mergeCell ref="W21:Y21"/>
    <mergeCell ref="I22:J22"/>
    <mergeCell ref="K22:L22"/>
    <mergeCell ref="N22:P22"/>
    <mergeCell ref="Q22:S22"/>
    <mergeCell ref="T22:V22"/>
    <mergeCell ref="W22:Y22"/>
    <mergeCell ref="I28:J28"/>
    <mergeCell ref="K28:L28"/>
    <mergeCell ref="N28:P28"/>
    <mergeCell ref="Q28:S28"/>
    <mergeCell ref="T28:V28"/>
    <mergeCell ref="W28:Y28"/>
    <mergeCell ref="C14:D17"/>
    <mergeCell ref="C18:D22"/>
    <mergeCell ref="Z15:AS15"/>
    <mergeCell ref="I16:J16"/>
    <mergeCell ref="K16:L16"/>
    <mergeCell ref="N16:P16"/>
    <mergeCell ref="Q16:S16"/>
    <mergeCell ref="T16:V16"/>
    <mergeCell ref="W16:Y16"/>
    <mergeCell ref="Z16:AS16"/>
    <mergeCell ref="Q14:S14"/>
    <mergeCell ref="T14:V14"/>
    <mergeCell ref="W14:Y14"/>
    <mergeCell ref="Z14:AS14"/>
    <mergeCell ref="I15:J15"/>
    <mergeCell ref="K15:L15"/>
    <mergeCell ref="N15:P15"/>
    <mergeCell ref="Q15:S15"/>
    <mergeCell ref="T15:V15"/>
    <mergeCell ref="W15:Y15"/>
    <mergeCell ref="Z17:AS17"/>
    <mergeCell ref="I18:J18"/>
    <mergeCell ref="K18:L18"/>
    <mergeCell ref="N18:P18"/>
    <mergeCell ref="C7:D13"/>
    <mergeCell ref="E7:F11"/>
    <mergeCell ref="I7:M7"/>
    <mergeCell ref="N7:AS7"/>
    <mergeCell ref="I8:J13"/>
    <mergeCell ref="K8:L13"/>
    <mergeCell ref="M8:M13"/>
    <mergeCell ref="N8:P13"/>
    <mergeCell ref="Q8:S13"/>
    <mergeCell ref="G7:H11"/>
    <mergeCell ref="G12:H13"/>
    <mergeCell ref="T8:V13"/>
    <mergeCell ref="W8:Y13"/>
    <mergeCell ref="Z8:AS13"/>
    <mergeCell ref="E12:F13"/>
    <mergeCell ref="E5:I5"/>
    <mergeCell ref="Z5:AG5"/>
    <mergeCell ref="AI5:AK5"/>
    <mergeCell ref="AL5:AM5"/>
    <mergeCell ref="E14:F20"/>
    <mergeCell ref="G14:H20"/>
    <mergeCell ref="I14:J14"/>
    <mergeCell ref="K14:L14"/>
    <mergeCell ref="N14:P14"/>
    <mergeCell ref="Q18:S18"/>
    <mergeCell ref="T18:V18"/>
    <mergeCell ref="W18:Y18"/>
    <mergeCell ref="Z18:AS18"/>
    <mergeCell ref="I17:J17"/>
    <mergeCell ref="K17:L17"/>
    <mergeCell ref="N17:P17"/>
    <mergeCell ref="Q17:S17"/>
    <mergeCell ref="T17:V17"/>
    <mergeCell ref="W17:Y17"/>
    <mergeCell ref="Z19:AS19"/>
    <mergeCell ref="I20:J20"/>
    <mergeCell ref="K20:L20"/>
    <mergeCell ref="N20:P20"/>
    <mergeCell ref="Q20:S20"/>
    <mergeCell ref="E21:F22"/>
    <mergeCell ref="G21:H22"/>
    <mergeCell ref="I21:J21"/>
    <mergeCell ref="K21:L21"/>
    <mergeCell ref="T38:V38"/>
    <mergeCell ref="W38:Y38"/>
    <mergeCell ref="Z38:AS38"/>
    <mergeCell ref="Z36:AS36"/>
    <mergeCell ref="Q37:S37"/>
    <mergeCell ref="T37:V37"/>
    <mergeCell ref="W37:Y37"/>
    <mergeCell ref="Z37:AS37"/>
    <mergeCell ref="Z21:AS21"/>
    <mergeCell ref="Z22:AS22"/>
    <mergeCell ref="Z28:AS28"/>
    <mergeCell ref="Q27:S27"/>
    <mergeCell ref="T27:V27"/>
    <mergeCell ref="W27:Y27"/>
    <mergeCell ref="K29:L29"/>
    <mergeCell ref="N29:P29"/>
    <mergeCell ref="Q29:S29"/>
    <mergeCell ref="T24:V24"/>
    <mergeCell ref="W24:Y24"/>
    <mergeCell ref="Q26:S26"/>
    <mergeCell ref="P2:Y2"/>
    <mergeCell ref="AH2:AT3"/>
    <mergeCell ref="Q3:Q4"/>
    <mergeCell ref="R3:R4"/>
    <mergeCell ref="S3:S4"/>
    <mergeCell ref="Z27:AS27"/>
    <mergeCell ref="W31:Y31"/>
    <mergeCell ref="Z31:AS31"/>
    <mergeCell ref="Q36:S36"/>
    <mergeCell ref="T36:V36"/>
    <mergeCell ref="W36:Y36"/>
    <mergeCell ref="N32:P32"/>
    <mergeCell ref="Z4:AG4"/>
    <mergeCell ref="Z2:AG3"/>
    <mergeCell ref="N21:P21"/>
    <mergeCell ref="Q21:S21"/>
    <mergeCell ref="T20:V20"/>
    <mergeCell ref="W20:Y20"/>
    <mergeCell ref="Z20:AS20"/>
    <mergeCell ref="T26:V26"/>
    <mergeCell ref="W26:Y26"/>
    <mergeCell ref="Z26:AS26"/>
    <mergeCell ref="T29:V29"/>
    <mergeCell ref="W29:Y29"/>
  </mergeCells>
  <dataValidations count="6">
    <dataValidation type="list" allowBlank="1" showInputMessage="1" showErrorMessage="1" sqref="Q14:S94 W14:Y94" xr:uid="{8DCB61D4-6C6B-4629-83FF-0AB9881036FE}">
      <formula1>INDIRECT(N14)</formula1>
    </dataValidation>
    <dataValidation type="decimal" operator="greaterThanOrEqual" allowBlank="1" showInputMessage="1" showErrorMessage="1" error="Introduzir Quantidade de Peças Produzidas_x000a_Exemplo: 120" prompt="Introduzir Quantidade de peças produzidas em cada hora._x000a__x000a_" sqref="G14 G23 G68:G70 G41 G86:G89 G59:G63 G50:G52 G32:G35 G77:G79" xr:uid="{E82D45E7-7417-4D11-8DDD-E8520530D930}">
      <formula1>0</formula1>
    </dataValidation>
    <dataValidation type="date" operator="greaterThanOrEqual" allowBlank="1" showInputMessage="1" showErrorMessage="1" error="Introduzir Data_x000a_Exemplo: 01/01/2013" prompt="Introduzir data de Produção_x000a_Exemplo: 01/01/2013" sqref="E5" xr:uid="{8D359F8B-D874-4873-A539-3DA055B9EB98}">
      <formula1>41275</formula1>
    </dataValidation>
    <dataValidation type="list" allowBlank="1" showInputMessage="1" showErrorMessage="1" sqref="G101:L101 G103:L103 G105:L105 G107:L107 G109:L109 G111:L111 G113:L113 G115:L115" xr:uid="{82FD8176-CBAE-4539-91E3-21D826C8DD9A}">
      <formula1>INDIRECT($Z$4)</formula1>
    </dataValidation>
    <dataValidation type="list" allowBlank="1" showInputMessage="1" showErrorMessage="1" sqref="T60:V67 T33:V57 T69:V94 T14:V31" xr:uid="{1F43C859-AD17-4B8A-8C1E-5C3B1F249037}">
      <formula1>breakdown_dropdown</formula1>
    </dataValidation>
    <dataValidation type="list" allowBlank="1" showInputMessage="1" showErrorMessage="1" sqref="N14:P94" xr:uid="{6F4161B8-1AC0-4595-A4EB-FAE452DAED5E}">
      <formula1>INDIRECT($Z$2 &amp; "working_stations")</formula1>
    </dataValidation>
  </dataValidations>
  <pageMargins left="0.7" right="0.7" top="0.75" bottom="0.75" header="0.3" footer="0.3"/>
  <pageSetup scale="53"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9CF86-6608-4BFA-9BCD-BD50D19097AD}">
  <sheetPr codeName="Sheet3"/>
  <dimension ref="A1:P9"/>
  <sheetViews>
    <sheetView workbookViewId="0">
      <selection activeCell="G16" sqref="G16"/>
    </sheetView>
  </sheetViews>
  <sheetFormatPr defaultRowHeight="12.75" x14ac:dyDescent="0.35"/>
  <cols>
    <col min="1" max="1" width="54.06640625" bestFit="1" customWidth="1"/>
    <col min="2" max="2" width="9.796875" bestFit="1" customWidth="1"/>
    <col min="3" max="3" width="35.59765625" bestFit="1" customWidth="1"/>
    <col min="4" max="4" width="7.19921875" bestFit="1" customWidth="1"/>
    <col min="5" max="5" width="13.6640625" bestFit="1" customWidth="1"/>
    <col min="6" max="6" width="16.46484375" bestFit="1" customWidth="1"/>
    <col min="7" max="7" width="22.53125" bestFit="1" customWidth="1"/>
    <col min="8" max="8" width="16.265625" bestFit="1" customWidth="1"/>
    <col min="9" max="9" width="11.6640625" bestFit="1" customWidth="1"/>
    <col min="10" max="10" width="16.59765625" bestFit="1" customWidth="1"/>
    <col min="11" max="11" width="11.33203125" bestFit="1" customWidth="1"/>
    <col min="12" max="12" width="14.06640625" bestFit="1" customWidth="1"/>
    <col min="13" max="13" width="22.19921875" bestFit="1" customWidth="1"/>
    <col min="14" max="14" width="14.33203125" bestFit="1" customWidth="1"/>
    <col min="15" max="15" width="9.46484375" bestFit="1" customWidth="1"/>
    <col min="16" max="16" width="12.33203125" bestFit="1" customWidth="1"/>
  </cols>
  <sheetData>
    <row r="1" spans="1:16" x14ac:dyDescent="0.35">
      <c r="A1" t="s">
        <v>544</v>
      </c>
      <c r="B1" t="s">
        <v>545</v>
      </c>
      <c r="C1" t="s">
        <v>546</v>
      </c>
      <c r="D1" t="s">
        <v>547</v>
      </c>
      <c r="E1" t="s">
        <v>548</v>
      </c>
      <c r="F1" t="s">
        <v>549</v>
      </c>
      <c r="G1" t="s">
        <v>550</v>
      </c>
      <c r="H1" t="s">
        <v>551</v>
      </c>
      <c r="I1" t="s">
        <v>552</v>
      </c>
      <c r="J1" t="s">
        <v>553</v>
      </c>
      <c r="K1" t="s">
        <v>554</v>
      </c>
    </row>
    <row r="2" spans="1:16" x14ac:dyDescent="0.35">
      <c r="A2" t="s">
        <v>555</v>
      </c>
      <c r="B2" s="210">
        <v>46027</v>
      </c>
      <c r="C2" t="s">
        <v>556</v>
      </c>
      <c r="D2" s="211">
        <v>0.2986111111111111</v>
      </c>
      <c r="E2">
        <v>29</v>
      </c>
      <c r="G2" t="s">
        <v>383</v>
      </c>
      <c r="H2" t="s">
        <v>443</v>
      </c>
      <c r="I2" t="s">
        <v>271</v>
      </c>
      <c r="J2" t="s">
        <v>295</v>
      </c>
    </row>
    <row r="3" spans="1:16" x14ac:dyDescent="0.35">
      <c r="A3" t="s">
        <v>555</v>
      </c>
      <c r="B3" s="210">
        <v>46027</v>
      </c>
      <c r="C3" t="s">
        <v>556</v>
      </c>
      <c r="D3" s="211">
        <v>0.375</v>
      </c>
      <c r="F3">
        <v>10</v>
      </c>
      <c r="I3" t="s">
        <v>527</v>
      </c>
    </row>
    <row r="4" spans="1:16" x14ac:dyDescent="0.35">
      <c r="A4" t="s">
        <v>555</v>
      </c>
      <c r="B4" s="210">
        <v>46027</v>
      </c>
      <c r="C4" t="s">
        <v>556</v>
      </c>
      <c r="D4" s="211">
        <v>0.5</v>
      </c>
      <c r="F4">
        <v>30</v>
      </c>
      <c r="I4" t="s">
        <v>527</v>
      </c>
    </row>
    <row r="5" spans="1:16" x14ac:dyDescent="0.35">
      <c r="A5" t="s">
        <v>555</v>
      </c>
      <c r="B5" s="210">
        <v>46027</v>
      </c>
      <c r="C5" t="s">
        <v>556</v>
      </c>
      <c r="D5" s="211">
        <v>0.58333333333333337</v>
      </c>
      <c r="E5">
        <v>11</v>
      </c>
      <c r="G5" t="s">
        <v>384</v>
      </c>
      <c r="H5" t="s">
        <v>460</v>
      </c>
      <c r="I5" t="s">
        <v>271</v>
      </c>
      <c r="J5" t="s">
        <v>295</v>
      </c>
      <c r="K5" t="s">
        <v>543</v>
      </c>
    </row>
    <row r="6" spans="1:16" x14ac:dyDescent="0.35">
      <c r="A6" t="s">
        <v>555</v>
      </c>
      <c r="B6" s="210">
        <v>46027</v>
      </c>
      <c r="C6" t="s">
        <v>556</v>
      </c>
      <c r="D6" s="211">
        <v>0.58333333333333337</v>
      </c>
      <c r="F6">
        <v>10</v>
      </c>
      <c r="I6" t="s">
        <v>527</v>
      </c>
    </row>
    <row r="8" spans="1:16" x14ac:dyDescent="0.35">
      <c r="A8" t="s">
        <v>544</v>
      </c>
      <c r="B8" t="s">
        <v>545</v>
      </c>
      <c r="C8" t="s">
        <v>546</v>
      </c>
      <c r="D8" t="s">
        <v>557</v>
      </c>
      <c r="E8" t="s">
        <v>558</v>
      </c>
      <c r="F8" t="s">
        <v>559</v>
      </c>
      <c r="G8" t="s">
        <v>560</v>
      </c>
      <c r="H8" t="s">
        <v>561</v>
      </c>
      <c r="I8" t="s">
        <v>562</v>
      </c>
      <c r="J8" t="s">
        <v>563</v>
      </c>
      <c r="K8" t="s">
        <v>564</v>
      </c>
      <c r="L8" t="s">
        <v>565</v>
      </c>
      <c r="M8" t="s">
        <v>566</v>
      </c>
      <c r="N8" t="s">
        <v>567</v>
      </c>
      <c r="O8" t="s">
        <v>568</v>
      </c>
      <c r="P8" t="s">
        <v>569</v>
      </c>
    </row>
    <row r="9" spans="1:16" x14ac:dyDescent="0.35">
      <c r="A9" t="s">
        <v>555</v>
      </c>
      <c r="B9" s="210">
        <v>46027</v>
      </c>
      <c r="C9" t="s">
        <v>556</v>
      </c>
      <c r="D9" t="s">
        <v>570</v>
      </c>
      <c r="E9" t="s">
        <v>571</v>
      </c>
      <c r="F9">
        <v>2</v>
      </c>
      <c r="G9">
        <v>92</v>
      </c>
      <c r="H9">
        <v>86</v>
      </c>
      <c r="I9">
        <v>3</v>
      </c>
      <c r="J9">
        <v>5</v>
      </c>
      <c r="O9" t="s">
        <v>23</v>
      </c>
      <c r="P9">
        <v>316</v>
      </c>
    </row>
  </sheetData>
  <sheetProtection algorithmName="SHA-512" hashValue="89wn4pa8qquxKAPpH6MTWPO8hjBwoB4aENcVTxvuVMwvYwuv/EG8irYwd2/BX44wlE1r8ZnKMznkNWcc3rfMog==" saltValue="K7CuB23SK+pEipUYKU5fWw==" spinCount="100000" sheet="1" objects="1" scenarios="1"/>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A6A02-BCE6-4A73-86CD-442C2D226B26}">
  <sheetPr codeName="Sheet10">
    <tabColor theme="6" tint="0.59999389629810485"/>
  </sheetPr>
  <dimension ref="A1:BP116"/>
  <sheetViews>
    <sheetView view="pageBreakPreview" topLeftCell="A47" zoomScaleNormal="100" zoomScaleSheetLayoutView="100" workbookViewId="0">
      <selection activeCell="T88" sqref="T88:V88"/>
    </sheetView>
  </sheetViews>
  <sheetFormatPr defaultColWidth="9.1328125" defaultRowHeight="13.15" x14ac:dyDescent="0.4"/>
  <cols>
    <col min="1" max="1" width="2.3984375" style="4" customWidth="1"/>
    <col min="2" max="3" width="2.86328125" style="4" customWidth="1"/>
    <col min="4" max="4" width="6.1328125" style="4" bestFit="1" customWidth="1"/>
    <col min="5" max="5" width="4.265625" style="4" customWidth="1"/>
    <col min="6" max="6" width="4.265625" style="38" customWidth="1"/>
    <col min="7" max="8" width="4.265625" style="4" customWidth="1"/>
    <col min="9" max="12" width="3.265625" style="4" customWidth="1"/>
    <col min="13" max="13" width="2.86328125" style="39" customWidth="1"/>
    <col min="14" max="14" width="7.86328125" style="4" customWidth="1"/>
    <col min="15" max="15" width="5.86328125" style="4" customWidth="1"/>
    <col min="16" max="20" width="5.73046875" style="4" customWidth="1"/>
    <col min="21" max="21" width="6.59765625" style="4" customWidth="1"/>
    <col min="22" max="22" width="6.73046875" style="4" customWidth="1"/>
    <col min="23" max="24" width="5.73046875" style="4" customWidth="1"/>
    <col min="25" max="25" width="2.86328125" style="4" customWidth="1"/>
    <col min="26" max="33" width="2.3984375" style="4" customWidth="1"/>
    <col min="34" max="46" width="2.9296875" style="4" customWidth="1"/>
    <col min="47" max="47" width="9.1328125" style="4"/>
    <col min="48" max="48" width="20.73046875" style="4" hidden="1" customWidth="1"/>
    <col min="49" max="49" width="7.3984375" style="4" hidden="1" customWidth="1"/>
    <col min="50" max="51" width="13.6640625" style="4" hidden="1" customWidth="1"/>
    <col min="52" max="52" width="5" style="4" hidden="1" customWidth="1"/>
    <col min="53" max="53" width="13.06640625" style="4" hidden="1" customWidth="1"/>
    <col min="54" max="54" width="8.06640625" style="4" hidden="1" customWidth="1"/>
    <col min="55" max="55" width="10.73046875" style="4" bestFit="1" customWidth="1"/>
    <col min="56" max="56" width="14.3984375" style="4" bestFit="1" customWidth="1"/>
    <col min="57" max="57" width="16.06640625" style="4" bestFit="1" customWidth="1"/>
    <col min="58" max="58" width="8.3984375" style="4" bestFit="1" customWidth="1"/>
    <col min="59" max="60" width="11.796875" style="4" bestFit="1" customWidth="1"/>
    <col min="61" max="61" width="10.265625" style="4" bestFit="1" customWidth="1"/>
    <col min="62" max="62" width="8.06640625" style="4" bestFit="1" customWidth="1"/>
    <col min="63" max="63" width="10.265625" style="4" bestFit="1" customWidth="1"/>
    <col min="64" max="64" width="11.86328125" style="4" bestFit="1" customWidth="1"/>
    <col min="65" max="65" width="14.1328125" style="4" bestFit="1" customWidth="1"/>
    <col min="66" max="66" width="12.06640625" style="4" bestFit="1" customWidth="1"/>
    <col min="67" max="67" width="10" style="4" bestFit="1" customWidth="1"/>
    <col min="68" max="68" width="4.1328125" style="4" bestFit="1" customWidth="1"/>
    <col min="69" max="16384" width="9.1328125" style="4"/>
  </cols>
  <sheetData>
    <row r="1" spans="1:68" ht="9.9499999999999993" customHeight="1" thickBot="1" x14ac:dyDescent="0.45">
      <c r="A1" s="37"/>
    </row>
    <row r="2" spans="1:68" s="40" customFormat="1" ht="12.75" customHeight="1" x14ac:dyDescent="0.35">
      <c r="B2" s="89"/>
      <c r="C2" s="90"/>
      <c r="D2" s="90"/>
      <c r="E2" s="90"/>
      <c r="F2" s="91"/>
      <c r="G2" s="90"/>
      <c r="H2" s="90"/>
      <c r="I2" s="90"/>
      <c r="J2" s="90"/>
      <c r="K2" s="90"/>
      <c r="L2" s="90"/>
      <c r="M2" s="92"/>
      <c r="N2" s="90"/>
      <c r="O2" s="90"/>
      <c r="P2" s="373" t="s">
        <v>539</v>
      </c>
      <c r="Q2" s="373"/>
      <c r="R2" s="373"/>
      <c r="S2" s="373"/>
      <c r="T2" s="373"/>
      <c r="U2" s="373"/>
      <c r="V2" s="373"/>
      <c r="W2" s="373"/>
      <c r="X2" s="373"/>
      <c r="Y2" s="373"/>
      <c r="Z2" s="391" t="str">
        <f>SUBSTITUTE(SUBSTITUTE(LOWER(AH2)," ","_") &amp; "_","-","")</f>
        <v>mercedez_gle_580_rear_bumper_line_1_</v>
      </c>
      <c r="AA2" s="391"/>
      <c r="AB2" s="391"/>
      <c r="AC2" s="391"/>
      <c r="AD2" s="391"/>
      <c r="AE2" s="391"/>
      <c r="AF2" s="391"/>
      <c r="AG2" s="391"/>
      <c r="AH2" s="373" t="s">
        <v>509</v>
      </c>
      <c r="AI2" s="373"/>
      <c r="AJ2" s="373"/>
      <c r="AK2" s="373"/>
      <c r="AL2" s="373"/>
      <c r="AM2" s="373"/>
      <c r="AN2" s="373"/>
      <c r="AO2" s="373"/>
      <c r="AP2" s="373"/>
      <c r="AQ2" s="373"/>
      <c r="AR2" s="373"/>
      <c r="AS2" s="373"/>
      <c r="AT2" s="374"/>
      <c r="AV2" s="40" t="str" cm="1">
        <f t="array" ref="AV2:AV22">breakdown_analysis[]</f>
        <v>Eletrical_Breakdown</v>
      </c>
      <c r="AW2" s="40">
        <f ca="1">SUMIF($T$14:$V$94,$AV2,$I$14:$J$94) + SUMIF($T$14:$V$94,$AV2,$K$14:$L$94)</f>
        <v>0</v>
      </c>
      <c r="AX2" s="40" t="str">
        <f ca="1">IF(AW2&lt;&gt;0,AV2,"")</f>
        <v/>
      </c>
      <c r="AY2" s="40" t="str" cm="1">
        <f t="array" aca="1" ref="AY2:AY3" ca="1">_xlfn._xlws.FILTER(AX2:AX22,AX2:AX22&lt;&gt;"")</f>
        <v>Mechanical_Breakdown</v>
      </c>
      <c r="AZ2" s="40">
        <f ca="1">VLOOKUP(AY2,$AV$2:$AW$22,2,FALSE)</f>
        <v>40</v>
      </c>
      <c r="BA2" s="40" t="str" cm="1">
        <f t="array" aca="1" ref="BA2:BA3" ca="1">OFFSET($AY$2,0,0,COUNTA($AY$2:$AY$22),1)</f>
        <v>Mechanical_Breakdown</v>
      </c>
    </row>
    <row r="3" spans="1:68" s="40" customFormat="1" ht="9.9499999999999993" customHeight="1" x14ac:dyDescent="0.3">
      <c r="B3" s="93"/>
      <c r="C3" s="94"/>
      <c r="D3" s="94"/>
      <c r="E3" s="94"/>
      <c r="F3" s="95"/>
      <c r="G3" s="94"/>
      <c r="H3" s="94"/>
      <c r="I3" s="94"/>
      <c r="J3" s="94"/>
      <c r="K3" s="94"/>
      <c r="L3" s="94"/>
      <c r="M3" s="96"/>
      <c r="N3" s="94"/>
      <c r="O3" s="94"/>
      <c r="P3" s="94"/>
      <c r="Q3" s="377" t="s">
        <v>17</v>
      </c>
      <c r="R3" s="377" t="s">
        <v>23</v>
      </c>
      <c r="S3" s="377" t="s">
        <v>154</v>
      </c>
      <c r="T3" s="97"/>
      <c r="U3" s="97"/>
      <c r="V3" s="97"/>
      <c r="W3" s="97"/>
      <c r="X3" s="97"/>
      <c r="Y3" s="97"/>
      <c r="Z3" s="392"/>
      <c r="AA3" s="392"/>
      <c r="AB3" s="392"/>
      <c r="AC3" s="392"/>
      <c r="AD3" s="392"/>
      <c r="AE3" s="392"/>
      <c r="AF3" s="392"/>
      <c r="AG3" s="392"/>
      <c r="AH3" s="375"/>
      <c r="AI3" s="375"/>
      <c r="AJ3" s="375"/>
      <c r="AK3" s="375"/>
      <c r="AL3" s="375"/>
      <c r="AM3" s="375"/>
      <c r="AN3" s="375"/>
      <c r="AO3" s="375"/>
      <c r="AP3" s="375"/>
      <c r="AQ3" s="375"/>
      <c r="AR3" s="375"/>
      <c r="AS3" s="375"/>
      <c r="AT3" s="376"/>
      <c r="AV3" s="40" t="str">
        <v>Mechanical_Breakdown</v>
      </c>
      <c r="AW3" s="40">
        <f t="shared" ref="AW3:AW22" ca="1" si="0">SUMIF($T$14:$V$94,$AV3,$I$14:$J$94) + SUMIF($T$14:$V$94,$AV3,$K$14:$L$94)</f>
        <v>40</v>
      </c>
      <c r="AX3" s="40" t="str">
        <f t="shared" ref="AX3:AX22" ca="1" si="1">IF(AW3&lt;&gt;0,AV3,"")</f>
        <v>Mechanical_Breakdown</v>
      </c>
      <c r="AY3" s="40" t="str">
        <f ca="1"/>
        <v>Break</v>
      </c>
      <c r="AZ3" s="40">
        <f ca="1">VLOOKUP(AY3,$AV$2:$AW$22,2,FALSE)</f>
        <v>50</v>
      </c>
      <c r="BA3" s="40" t="str">
        <f ca="1"/>
        <v>Break</v>
      </c>
    </row>
    <row r="4" spans="1:68" s="40" customFormat="1" ht="9.9499999999999993" customHeight="1" thickBot="1" x14ac:dyDescent="0.35">
      <c r="B4" s="93"/>
      <c r="C4" s="94"/>
      <c r="D4" s="94"/>
      <c r="E4" s="94"/>
      <c r="F4" s="95"/>
      <c r="G4" s="94"/>
      <c r="H4" s="94"/>
      <c r="I4" s="94"/>
      <c r="J4" s="94"/>
      <c r="K4" s="94"/>
      <c r="L4" s="94"/>
      <c r="M4" s="96"/>
      <c r="N4" s="94"/>
      <c r="O4" s="94"/>
      <c r="P4" s="94"/>
      <c r="Q4" s="378"/>
      <c r="R4" s="378"/>
      <c r="S4" s="378"/>
      <c r="T4" s="98"/>
      <c r="U4" s="99"/>
      <c r="V4" s="99"/>
      <c r="W4" s="99"/>
      <c r="X4" s="99"/>
      <c r="Y4" s="99"/>
      <c r="Z4" s="390" t="str">
        <f>LOWER(SUBSTITUTE(SUBSTITUTE(SUBSTITUTE(SUBSTITUTE(SUBSTITUTE(SUBSTITUTE(SUBSTITUTE(SUBSTITUTE(SUBSTITUTE(SUBSTITUTE(SUBSTITUTE(SUBSTITUTE(SUBSTITUTE(Z5," ","_"),"ã","a"),"â","a"),"á","a"),"à","a"),"ä","a"),"ç","c"),"é","e"),"ê","e"),"í","i"),"ó","o"),"ô","o"),"ú","u"))&amp;"_"&amp;"equipa"</f>
        <v>luìs_correia_equipa</v>
      </c>
      <c r="AA4" s="390"/>
      <c r="AB4" s="390"/>
      <c r="AC4" s="390"/>
      <c r="AD4" s="390"/>
      <c r="AE4" s="390"/>
      <c r="AF4" s="390"/>
      <c r="AG4" s="390"/>
      <c r="AH4" s="98"/>
      <c r="AI4" s="98"/>
      <c r="AJ4" s="98"/>
      <c r="AK4" s="98"/>
      <c r="AL4" s="98"/>
      <c r="AM4" s="98"/>
      <c r="AN4" s="98"/>
      <c r="AO4" s="98"/>
      <c r="AP4" s="98"/>
      <c r="AQ4" s="98"/>
      <c r="AR4" s="98"/>
      <c r="AS4" s="98"/>
      <c r="AT4" s="100"/>
      <c r="AV4" s="40" t="str">
        <v>Welding_Failure</v>
      </c>
      <c r="AW4" s="40">
        <f t="shared" ca="1" si="0"/>
        <v>0</v>
      </c>
      <c r="AX4" s="40" t="str">
        <f t="shared" ca="1" si="1"/>
        <v/>
      </c>
      <c r="AZ4" s="40" t="e">
        <f>VLOOKUP(AY4,$AV$2:$AW$22,2,FALSE)</f>
        <v>#N/A</v>
      </c>
    </row>
    <row r="5" spans="1:68" s="40" customFormat="1" ht="13.5" thickBot="1" x14ac:dyDescent="0.45">
      <c r="B5" s="41"/>
      <c r="C5" s="58"/>
      <c r="D5" s="156" t="s">
        <v>477</v>
      </c>
      <c r="E5" s="402">
        <v>46027</v>
      </c>
      <c r="F5" s="403"/>
      <c r="G5" s="403"/>
      <c r="H5" s="403"/>
      <c r="I5" s="404"/>
      <c r="J5" s="42"/>
      <c r="K5" s="42"/>
      <c r="L5" s="42"/>
      <c r="M5" s="43"/>
      <c r="N5" s="42"/>
      <c r="O5" s="157"/>
      <c r="P5" s="156" t="s">
        <v>503</v>
      </c>
      <c r="Q5" s="50"/>
      <c r="R5" s="51" t="s">
        <v>2</v>
      </c>
      <c r="S5" s="52"/>
      <c r="T5" s="53"/>
      <c r="U5" s="54"/>
      <c r="V5" s="55"/>
      <c r="W5" s="72"/>
      <c r="X5" s="155"/>
      <c r="Y5" s="156" t="s">
        <v>27</v>
      </c>
      <c r="Z5" s="405" t="s">
        <v>139</v>
      </c>
      <c r="AA5" s="406"/>
      <c r="AB5" s="406"/>
      <c r="AC5" s="406"/>
      <c r="AD5" s="406"/>
      <c r="AE5" s="406"/>
      <c r="AF5" s="406"/>
      <c r="AG5" s="407"/>
      <c r="AH5" s="46"/>
      <c r="AI5" s="408" t="s">
        <v>478</v>
      </c>
      <c r="AJ5" s="408"/>
      <c r="AK5" s="408"/>
      <c r="AL5" s="409" t="s">
        <v>26</v>
      </c>
      <c r="AM5" s="410"/>
      <c r="AN5" s="46"/>
      <c r="AO5" s="46"/>
      <c r="AP5" s="46"/>
      <c r="AQ5" s="46"/>
      <c r="AR5" s="46"/>
      <c r="AS5" s="46"/>
      <c r="AT5" s="48"/>
      <c r="AV5" s="40" t="str">
        <v>Hydraulic_Failure</v>
      </c>
      <c r="AW5" s="40">
        <f t="shared" ca="1" si="0"/>
        <v>0</v>
      </c>
      <c r="AX5" s="40" t="str">
        <f t="shared" ca="1" si="1"/>
        <v/>
      </c>
      <c r="AZ5" s="40" t="e">
        <f>VLOOKUP(AY5,$AV$2:$AW$22,2,FALSE)</f>
        <v>#N/A</v>
      </c>
      <c r="BP5" s="40" t="str">
        <f>IF(BP3&lt;&gt;0,BP2,"")</f>
        <v/>
      </c>
    </row>
    <row r="6" spans="1:68" s="40" customFormat="1" ht="9.9499999999999993" customHeight="1" thickBot="1" x14ac:dyDescent="0.4">
      <c r="B6" s="41"/>
      <c r="C6" s="49"/>
      <c r="D6" s="49"/>
      <c r="E6" s="49"/>
      <c r="F6" s="56"/>
      <c r="G6" s="57"/>
      <c r="H6" s="49"/>
      <c r="I6" s="49"/>
      <c r="J6" s="49"/>
      <c r="K6" s="49"/>
      <c r="L6" s="49"/>
      <c r="M6" s="58"/>
      <c r="N6" s="49"/>
      <c r="O6" s="49"/>
      <c r="P6" s="49"/>
      <c r="Q6" s="49"/>
      <c r="R6" s="49"/>
      <c r="S6" s="49"/>
      <c r="T6" s="49"/>
      <c r="U6" s="49"/>
      <c r="V6" s="49"/>
      <c r="W6" s="49"/>
      <c r="X6" s="49"/>
      <c r="Y6" s="49"/>
      <c r="Z6" s="49"/>
      <c r="AA6" s="49"/>
      <c r="AB6" s="49"/>
      <c r="AC6" s="49"/>
      <c r="AD6" s="49"/>
      <c r="AE6" s="49"/>
      <c r="AF6" s="49"/>
      <c r="AG6" s="49"/>
      <c r="AH6" s="42"/>
      <c r="AI6" s="42"/>
      <c r="AJ6" s="42"/>
      <c r="AK6" s="59"/>
      <c r="AL6" s="55"/>
      <c r="AM6" s="55"/>
      <c r="AN6" s="55"/>
      <c r="AO6" s="55"/>
      <c r="AP6" s="55"/>
      <c r="AQ6" s="55"/>
      <c r="AR6" s="55"/>
      <c r="AS6" s="55"/>
      <c r="AT6" s="48"/>
      <c r="AV6" s="40" t="str">
        <v>Pneumatic_Failure</v>
      </c>
      <c r="AW6" s="40">
        <f t="shared" ca="1" si="0"/>
        <v>0</v>
      </c>
      <c r="AX6" s="40" t="str">
        <f t="shared" ca="1" si="1"/>
        <v/>
      </c>
    </row>
    <row r="7" spans="1:68" s="40" customFormat="1" ht="12.95" customHeight="1" x14ac:dyDescent="0.3">
      <c r="B7" s="60"/>
      <c r="C7" s="420" t="s">
        <v>532</v>
      </c>
      <c r="D7" s="421"/>
      <c r="E7" s="424" t="str">
        <f ca="1">"Goal With"&amp;" "&amp;TEXT(efficiency,"0%")&amp;" Efficiency"</f>
        <v>Goal With 90% Efficiency</v>
      </c>
      <c r="F7" s="425"/>
      <c r="G7" s="424" t="s">
        <v>531</v>
      </c>
      <c r="H7" s="425"/>
      <c r="I7" s="430" t="s">
        <v>18</v>
      </c>
      <c r="J7" s="431"/>
      <c r="K7" s="431"/>
      <c r="L7" s="431"/>
      <c r="M7" s="432"/>
      <c r="N7" s="430" t="s">
        <v>19</v>
      </c>
      <c r="O7" s="431"/>
      <c r="P7" s="431"/>
      <c r="Q7" s="431"/>
      <c r="R7" s="431"/>
      <c r="S7" s="431"/>
      <c r="T7" s="431"/>
      <c r="U7" s="431"/>
      <c r="V7" s="431"/>
      <c r="W7" s="431"/>
      <c r="X7" s="431"/>
      <c r="Y7" s="431"/>
      <c r="Z7" s="431"/>
      <c r="AA7" s="431"/>
      <c r="AB7" s="431"/>
      <c r="AC7" s="431"/>
      <c r="AD7" s="431"/>
      <c r="AE7" s="431"/>
      <c r="AF7" s="431"/>
      <c r="AG7" s="431"/>
      <c r="AH7" s="431"/>
      <c r="AI7" s="431"/>
      <c r="AJ7" s="431"/>
      <c r="AK7" s="431"/>
      <c r="AL7" s="431"/>
      <c r="AM7" s="431"/>
      <c r="AN7" s="431"/>
      <c r="AO7" s="431"/>
      <c r="AP7" s="431"/>
      <c r="AQ7" s="431"/>
      <c r="AR7" s="431"/>
      <c r="AS7" s="433"/>
      <c r="AT7" s="48"/>
      <c r="AV7" s="40" t="str">
        <v>Conveyor_Stoppage</v>
      </c>
      <c r="AW7" s="40">
        <f t="shared" ca="1" si="0"/>
        <v>0</v>
      </c>
      <c r="AX7" s="40" t="str">
        <f t="shared" ca="1" si="1"/>
        <v/>
      </c>
    </row>
    <row r="8" spans="1:68" s="40" customFormat="1" ht="9.9499999999999993" customHeight="1" x14ac:dyDescent="0.3">
      <c r="B8" s="60"/>
      <c r="C8" s="422"/>
      <c r="D8" s="423"/>
      <c r="E8" s="426"/>
      <c r="F8" s="427"/>
      <c r="G8" s="426"/>
      <c r="H8" s="427"/>
      <c r="I8" s="434" t="s">
        <v>533</v>
      </c>
      <c r="J8" s="435"/>
      <c r="K8" s="434" t="s">
        <v>534</v>
      </c>
      <c r="L8" s="435"/>
      <c r="M8" s="436" t="s">
        <v>20</v>
      </c>
      <c r="N8" s="439" t="s">
        <v>530</v>
      </c>
      <c r="O8" s="439"/>
      <c r="P8" s="439"/>
      <c r="Q8" s="440" t="s">
        <v>535</v>
      </c>
      <c r="R8" s="440"/>
      <c r="S8" s="440"/>
      <c r="T8" s="439" t="s">
        <v>536</v>
      </c>
      <c r="U8" s="439"/>
      <c r="V8" s="439"/>
      <c r="W8" s="439" t="s">
        <v>537</v>
      </c>
      <c r="X8" s="439"/>
      <c r="Y8" s="439"/>
      <c r="Z8" s="440" t="s">
        <v>538</v>
      </c>
      <c r="AA8" s="440"/>
      <c r="AB8" s="440"/>
      <c r="AC8" s="440"/>
      <c r="AD8" s="440"/>
      <c r="AE8" s="440"/>
      <c r="AF8" s="440"/>
      <c r="AG8" s="440"/>
      <c r="AH8" s="440"/>
      <c r="AI8" s="440"/>
      <c r="AJ8" s="440"/>
      <c r="AK8" s="440"/>
      <c r="AL8" s="440"/>
      <c r="AM8" s="440"/>
      <c r="AN8" s="440"/>
      <c r="AO8" s="440"/>
      <c r="AP8" s="440"/>
      <c r="AQ8" s="440"/>
      <c r="AR8" s="440"/>
      <c r="AS8" s="445"/>
      <c r="AT8" s="48"/>
      <c r="AV8" s="40" t="str">
        <v>Robot_Fault</v>
      </c>
      <c r="AW8" s="40">
        <f t="shared" ca="1" si="0"/>
        <v>0</v>
      </c>
      <c r="AX8" s="40" t="str">
        <f t="shared" ca="1" si="1"/>
        <v/>
      </c>
    </row>
    <row r="9" spans="1:68" s="40" customFormat="1" ht="9.9499999999999993" customHeight="1" x14ac:dyDescent="0.3">
      <c r="B9" s="60"/>
      <c r="C9" s="422"/>
      <c r="D9" s="423"/>
      <c r="E9" s="426"/>
      <c r="F9" s="427"/>
      <c r="G9" s="426"/>
      <c r="H9" s="427"/>
      <c r="I9" s="426"/>
      <c r="J9" s="427"/>
      <c r="K9" s="426"/>
      <c r="L9" s="427"/>
      <c r="M9" s="437"/>
      <c r="N9" s="439"/>
      <c r="O9" s="439"/>
      <c r="P9" s="439"/>
      <c r="Q9" s="440"/>
      <c r="R9" s="440"/>
      <c r="S9" s="440"/>
      <c r="T9" s="439"/>
      <c r="U9" s="439"/>
      <c r="V9" s="439"/>
      <c r="W9" s="439"/>
      <c r="X9" s="439"/>
      <c r="Y9" s="439"/>
      <c r="Z9" s="440"/>
      <c r="AA9" s="440"/>
      <c r="AB9" s="440"/>
      <c r="AC9" s="440"/>
      <c r="AD9" s="440"/>
      <c r="AE9" s="440"/>
      <c r="AF9" s="440"/>
      <c r="AG9" s="440"/>
      <c r="AH9" s="440"/>
      <c r="AI9" s="440"/>
      <c r="AJ9" s="440"/>
      <c r="AK9" s="440"/>
      <c r="AL9" s="440"/>
      <c r="AM9" s="440"/>
      <c r="AN9" s="440"/>
      <c r="AO9" s="440"/>
      <c r="AP9" s="440"/>
      <c r="AQ9" s="440"/>
      <c r="AR9" s="440"/>
      <c r="AS9" s="445"/>
      <c r="AT9" s="48"/>
      <c r="AV9" s="40" t="str">
        <v>Tooling_Change</v>
      </c>
      <c r="AW9" s="40">
        <f t="shared" ca="1" si="0"/>
        <v>0</v>
      </c>
      <c r="AX9" s="40" t="str">
        <f t="shared" ca="1" si="1"/>
        <v/>
      </c>
    </row>
    <row r="10" spans="1:68" s="40" customFormat="1" ht="9.9499999999999993" customHeight="1" x14ac:dyDescent="0.3">
      <c r="B10" s="60"/>
      <c r="C10" s="422"/>
      <c r="D10" s="423"/>
      <c r="E10" s="426"/>
      <c r="F10" s="427"/>
      <c r="G10" s="426"/>
      <c r="H10" s="427"/>
      <c r="I10" s="426"/>
      <c r="J10" s="427"/>
      <c r="K10" s="426"/>
      <c r="L10" s="427"/>
      <c r="M10" s="437"/>
      <c r="N10" s="439"/>
      <c r="O10" s="439"/>
      <c r="P10" s="439"/>
      <c r="Q10" s="440"/>
      <c r="R10" s="440"/>
      <c r="S10" s="440"/>
      <c r="T10" s="439"/>
      <c r="U10" s="439"/>
      <c r="V10" s="439"/>
      <c r="W10" s="439"/>
      <c r="X10" s="439"/>
      <c r="Y10" s="439"/>
      <c r="Z10" s="440"/>
      <c r="AA10" s="440"/>
      <c r="AB10" s="440"/>
      <c r="AC10" s="440"/>
      <c r="AD10" s="440"/>
      <c r="AE10" s="440"/>
      <c r="AF10" s="440"/>
      <c r="AG10" s="440"/>
      <c r="AH10" s="440"/>
      <c r="AI10" s="440"/>
      <c r="AJ10" s="440"/>
      <c r="AK10" s="440"/>
      <c r="AL10" s="440"/>
      <c r="AM10" s="440"/>
      <c r="AN10" s="440"/>
      <c r="AO10" s="440"/>
      <c r="AP10" s="440"/>
      <c r="AQ10" s="440"/>
      <c r="AR10" s="440"/>
      <c r="AS10" s="445"/>
      <c r="AT10" s="48"/>
      <c r="AV10" s="40" t="str">
        <v>Planned_Maintenance</v>
      </c>
      <c r="AW10" s="40">
        <f t="shared" ca="1" si="0"/>
        <v>0</v>
      </c>
      <c r="AX10" s="40" t="str">
        <f t="shared" ca="1" si="1"/>
        <v/>
      </c>
    </row>
    <row r="11" spans="1:68" s="40" customFormat="1" ht="9.9499999999999993" customHeight="1" x14ac:dyDescent="0.3">
      <c r="B11" s="60"/>
      <c r="C11" s="422"/>
      <c r="D11" s="423"/>
      <c r="E11" s="428"/>
      <c r="F11" s="429"/>
      <c r="G11" s="426"/>
      <c r="H11" s="427"/>
      <c r="I11" s="426"/>
      <c r="J11" s="427"/>
      <c r="K11" s="426"/>
      <c r="L11" s="427"/>
      <c r="M11" s="437"/>
      <c r="N11" s="439"/>
      <c r="O11" s="439"/>
      <c r="P11" s="439"/>
      <c r="Q11" s="440"/>
      <c r="R11" s="440"/>
      <c r="S11" s="440"/>
      <c r="T11" s="439"/>
      <c r="U11" s="439"/>
      <c r="V11" s="439"/>
      <c r="W11" s="439"/>
      <c r="X11" s="439"/>
      <c r="Y11" s="439"/>
      <c r="Z11" s="440"/>
      <c r="AA11" s="440"/>
      <c r="AB11" s="440"/>
      <c r="AC11" s="440"/>
      <c r="AD11" s="440"/>
      <c r="AE11" s="440"/>
      <c r="AF11" s="440"/>
      <c r="AG11" s="440"/>
      <c r="AH11" s="440"/>
      <c r="AI11" s="440"/>
      <c r="AJ11" s="440"/>
      <c r="AK11" s="440"/>
      <c r="AL11" s="440"/>
      <c r="AM11" s="440"/>
      <c r="AN11" s="440"/>
      <c r="AO11" s="440"/>
      <c r="AP11" s="440"/>
      <c r="AQ11" s="440"/>
      <c r="AR11" s="440"/>
      <c r="AS11" s="445"/>
      <c r="AT11" s="48"/>
      <c r="AV11" s="40" t="str">
        <v>Unplanned_Maintenance</v>
      </c>
      <c r="AW11" s="40">
        <f t="shared" ca="1" si="0"/>
        <v>0</v>
      </c>
      <c r="AX11" s="40" t="str">
        <f t="shared" ca="1" si="1"/>
        <v/>
      </c>
    </row>
    <row r="12" spans="1:68" s="40" customFormat="1" ht="9.9499999999999993" customHeight="1" x14ac:dyDescent="0.3">
      <c r="B12" s="60"/>
      <c r="C12" s="422"/>
      <c r="D12" s="423"/>
      <c r="E12" s="441" t="s">
        <v>23</v>
      </c>
      <c r="F12" s="442"/>
      <c r="G12" s="441"/>
      <c r="H12" s="442"/>
      <c r="I12" s="426"/>
      <c r="J12" s="427"/>
      <c r="K12" s="426"/>
      <c r="L12" s="427"/>
      <c r="M12" s="437"/>
      <c r="N12" s="439"/>
      <c r="O12" s="439"/>
      <c r="P12" s="439"/>
      <c r="Q12" s="440"/>
      <c r="R12" s="440"/>
      <c r="S12" s="440"/>
      <c r="T12" s="439"/>
      <c r="U12" s="439"/>
      <c r="V12" s="439"/>
      <c r="W12" s="439"/>
      <c r="X12" s="439"/>
      <c r="Y12" s="439"/>
      <c r="Z12" s="440"/>
      <c r="AA12" s="440"/>
      <c r="AB12" s="440"/>
      <c r="AC12" s="440"/>
      <c r="AD12" s="440"/>
      <c r="AE12" s="440"/>
      <c r="AF12" s="440"/>
      <c r="AG12" s="440"/>
      <c r="AH12" s="440"/>
      <c r="AI12" s="440"/>
      <c r="AJ12" s="440"/>
      <c r="AK12" s="440"/>
      <c r="AL12" s="440"/>
      <c r="AM12" s="440"/>
      <c r="AN12" s="440"/>
      <c r="AO12" s="440"/>
      <c r="AP12" s="440"/>
      <c r="AQ12" s="440"/>
      <c r="AR12" s="440"/>
      <c r="AS12" s="445"/>
      <c r="AT12" s="48"/>
      <c r="AV12" s="40" t="str">
        <v>Quality_Hold</v>
      </c>
      <c r="AW12" s="40">
        <f ca="1">SUMIF($T$14:$V$94,$AV12,$I$14:$J$94) + SUMIF($T$14:$V$94,$AV12,$K$14:$L$94)</f>
        <v>0</v>
      </c>
      <c r="AX12" s="40" t="str">
        <f ca="1">IF(AW12&lt;&gt;0,AV12,"")</f>
        <v/>
      </c>
      <c r="AZ12" s="154"/>
      <c r="BA12" s="154"/>
      <c r="BB12" s="154"/>
    </row>
    <row r="13" spans="1:68" s="40" customFormat="1" ht="9.9499999999999993" customHeight="1" x14ac:dyDescent="0.3">
      <c r="B13" s="60"/>
      <c r="C13" s="422"/>
      <c r="D13" s="423"/>
      <c r="E13" s="443"/>
      <c r="F13" s="444"/>
      <c r="G13" s="443"/>
      <c r="H13" s="444"/>
      <c r="I13" s="426"/>
      <c r="J13" s="427"/>
      <c r="K13" s="426"/>
      <c r="L13" s="427"/>
      <c r="M13" s="438"/>
      <c r="N13" s="439"/>
      <c r="O13" s="439"/>
      <c r="P13" s="439"/>
      <c r="Q13" s="440"/>
      <c r="R13" s="440"/>
      <c r="S13" s="440"/>
      <c r="T13" s="439"/>
      <c r="U13" s="439"/>
      <c r="V13" s="439"/>
      <c r="W13" s="439"/>
      <c r="X13" s="439"/>
      <c r="Y13" s="439"/>
      <c r="Z13" s="440"/>
      <c r="AA13" s="440"/>
      <c r="AB13" s="440"/>
      <c r="AC13" s="440"/>
      <c r="AD13" s="440"/>
      <c r="AE13" s="440"/>
      <c r="AF13" s="440"/>
      <c r="AG13" s="440"/>
      <c r="AH13" s="440"/>
      <c r="AI13" s="440"/>
      <c r="AJ13" s="440"/>
      <c r="AK13" s="440"/>
      <c r="AL13" s="440"/>
      <c r="AM13" s="440"/>
      <c r="AN13" s="440"/>
      <c r="AO13" s="440"/>
      <c r="AP13" s="440"/>
      <c r="AQ13" s="440"/>
      <c r="AR13" s="440"/>
      <c r="AS13" s="445"/>
      <c r="AT13" s="48"/>
      <c r="AV13" s="40" t="str">
        <v>Rework_Stoppage</v>
      </c>
      <c r="AW13" s="40">
        <f t="shared" ca="1" si="0"/>
        <v>0</v>
      </c>
      <c r="AX13" s="40" t="str">
        <f t="shared" ca="1" si="1"/>
        <v/>
      </c>
    </row>
    <row r="14" spans="1:68" s="40" customFormat="1" ht="9.9499999999999993" customHeight="1" x14ac:dyDescent="0.3">
      <c r="B14" s="60"/>
      <c r="C14" s="446">
        <f>IF($Q$5="X", IF(WEEKDAY($E$5)=2, TIME(0, 0, 0), TIME(23, 50, 0)), IF($R$5="X", TIME(7, 10, 0), IF($S$5="X", TIME(15, 30, 0), "")))</f>
        <v>0.2986111111111111</v>
      </c>
      <c r="D14" s="447"/>
      <c r="E14" s="397">
        <f ca="1">IFERROR(
  _xlfn.LET(
    _xlpm.time_diff,
    MOD(C18 - C14, 1),
    _xlpm.minutes,
    MINUTE(_xlpm.time_diff),
    _xlpm.pausas,
    SUMIF($T$14:$V$22, "Pausa", $K$14:$L$22),
    _xlpm.efficiency,
    (1 - _xlpm.pausas / IF(_xlpm.minutes = 0, 60, _xlpm.minutes)),
    _xlpm.result,
    IF(
       _xlpm.minutes = 0,
       ROUND(60 * 60 / cycle_time_welding * _xlpm.efficiency, 0),
       ROUND(_xlpm.minutes * 60 / cycle_time_welding * _xlpm.efficiency, 0)
      ),
    _xlpm.result
  ),
0)</f>
        <v>9</v>
      </c>
      <c r="F14" s="398"/>
      <c r="G14" s="413">
        <v>10</v>
      </c>
      <c r="H14" s="414"/>
      <c r="I14" s="419"/>
      <c r="J14" s="419"/>
      <c r="K14" s="419"/>
      <c r="L14" s="419"/>
      <c r="M14" s="62" t="str">
        <f>IF(K14+I14=0,"",K14+I14)</f>
        <v/>
      </c>
      <c r="N14" s="387"/>
      <c r="O14" s="388"/>
      <c r="P14" s="389"/>
      <c r="Q14" s="387"/>
      <c r="R14" s="388"/>
      <c r="S14" s="388"/>
      <c r="T14" s="387"/>
      <c r="U14" s="388"/>
      <c r="V14" s="389"/>
      <c r="W14" s="387"/>
      <c r="X14" s="388"/>
      <c r="Y14" s="388"/>
      <c r="Z14" s="387"/>
      <c r="AA14" s="388"/>
      <c r="AB14" s="388"/>
      <c r="AC14" s="388"/>
      <c r="AD14" s="388"/>
      <c r="AE14" s="388"/>
      <c r="AF14" s="388"/>
      <c r="AG14" s="388"/>
      <c r="AH14" s="388"/>
      <c r="AI14" s="388"/>
      <c r="AJ14" s="388"/>
      <c r="AK14" s="388"/>
      <c r="AL14" s="388"/>
      <c r="AM14" s="388"/>
      <c r="AN14" s="388"/>
      <c r="AO14" s="388"/>
      <c r="AP14" s="388"/>
      <c r="AQ14" s="388"/>
      <c r="AR14" s="388"/>
      <c r="AS14" s="452"/>
      <c r="AT14" s="48"/>
      <c r="AV14" s="40" t="str">
        <v>Material_Shortage</v>
      </c>
      <c r="AW14" s="40">
        <f t="shared" ca="1" si="0"/>
        <v>0</v>
      </c>
      <c r="AX14" s="40" t="str">
        <f t="shared" ca="1" si="1"/>
        <v/>
      </c>
    </row>
    <row r="15" spans="1:68" s="40" customFormat="1" ht="9.9499999999999993" customHeight="1" x14ac:dyDescent="0.3">
      <c r="B15" s="63"/>
      <c r="C15" s="448"/>
      <c r="D15" s="449"/>
      <c r="E15" s="411"/>
      <c r="F15" s="412"/>
      <c r="G15" s="415"/>
      <c r="H15" s="416"/>
      <c r="I15" s="401"/>
      <c r="J15" s="401"/>
      <c r="K15" s="401"/>
      <c r="L15" s="401"/>
      <c r="M15" s="62" t="str">
        <f t="shared" ref="M15:M78" si="2">IF(K15+I15=0,"",K15+I15)</f>
        <v/>
      </c>
      <c r="N15" s="379"/>
      <c r="O15" s="380"/>
      <c r="P15" s="386"/>
      <c r="Q15" s="379"/>
      <c r="R15" s="380"/>
      <c r="S15" s="380"/>
      <c r="T15" s="379"/>
      <c r="U15" s="380"/>
      <c r="V15" s="386"/>
      <c r="W15" s="379"/>
      <c r="X15" s="380"/>
      <c r="Y15" s="380"/>
      <c r="Z15" s="379"/>
      <c r="AA15" s="380"/>
      <c r="AB15" s="380"/>
      <c r="AC15" s="380"/>
      <c r="AD15" s="380"/>
      <c r="AE15" s="380"/>
      <c r="AF15" s="380"/>
      <c r="AG15" s="380"/>
      <c r="AH15" s="380"/>
      <c r="AI15" s="380"/>
      <c r="AJ15" s="380"/>
      <c r="AK15" s="380"/>
      <c r="AL15" s="380"/>
      <c r="AM15" s="380"/>
      <c r="AN15" s="380"/>
      <c r="AO15" s="380"/>
      <c r="AP15" s="380"/>
      <c r="AQ15" s="380"/>
      <c r="AR15" s="380"/>
      <c r="AS15" s="381"/>
      <c r="AT15" s="48"/>
      <c r="AV15" s="40" t="str">
        <v>Material_Defect</v>
      </c>
      <c r="AW15" s="40">
        <f t="shared" ca="1" si="0"/>
        <v>0</v>
      </c>
      <c r="AX15" s="40" t="str">
        <f t="shared" ca="1" si="1"/>
        <v/>
      </c>
    </row>
    <row r="16" spans="1:68" s="40" customFormat="1" ht="11.25" customHeight="1" x14ac:dyDescent="0.3">
      <c r="B16" s="63"/>
      <c r="C16" s="448"/>
      <c r="D16" s="449"/>
      <c r="E16" s="411"/>
      <c r="F16" s="412"/>
      <c r="G16" s="415"/>
      <c r="H16" s="416"/>
      <c r="I16" s="401"/>
      <c r="J16" s="401"/>
      <c r="K16" s="401"/>
      <c r="L16" s="401"/>
      <c r="M16" s="62" t="str">
        <f t="shared" si="2"/>
        <v/>
      </c>
      <c r="N16" s="379"/>
      <c r="O16" s="380"/>
      <c r="P16" s="386"/>
      <c r="Q16" s="379"/>
      <c r="R16" s="380"/>
      <c r="S16" s="380"/>
      <c r="T16" s="379"/>
      <c r="U16" s="380"/>
      <c r="V16" s="386"/>
      <c r="W16" s="379"/>
      <c r="X16" s="380"/>
      <c r="Y16" s="380"/>
      <c r="Z16" s="379"/>
      <c r="AA16" s="380"/>
      <c r="AB16" s="380"/>
      <c r="AC16" s="380"/>
      <c r="AD16" s="380"/>
      <c r="AE16" s="380"/>
      <c r="AF16" s="380"/>
      <c r="AG16" s="380"/>
      <c r="AH16" s="380"/>
      <c r="AI16" s="380"/>
      <c r="AJ16" s="380"/>
      <c r="AK16" s="380"/>
      <c r="AL16" s="380"/>
      <c r="AM16" s="380"/>
      <c r="AN16" s="380"/>
      <c r="AO16" s="380"/>
      <c r="AP16" s="380"/>
      <c r="AQ16" s="380"/>
      <c r="AR16" s="380"/>
      <c r="AS16" s="381"/>
      <c r="AT16" s="48"/>
      <c r="AV16" s="61" t="str">
        <v>Changeover</v>
      </c>
      <c r="AW16" s="40">
        <f t="shared" ca="1" si="0"/>
        <v>0</v>
      </c>
      <c r="AX16" s="40" t="str">
        <f t="shared" ca="1" si="1"/>
        <v/>
      </c>
      <c r="AZ16" s="61"/>
    </row>
    <row r="17" spans="2:52" s="40" customFormat="1" ht="9.9499999999999993" customHeight="1" x14ac:dyDescent="0.3">
      <c r="B17" s="63"/>
      <c r="C17" s="448"/>
      <c r="D17" s="449"/>
      <c r="E17" s="411"/>
      <c r="F17" s="412"/>
      <c r="G17" s="415"/>
      <c r="H17" s="416"/>
      <c r="I17" s="401">
        <v>29</v>
      </c>
      <c r="J17" s="401"/>
      <c r="K17" s="401"/>
      <c r="L17" s="401"/>
      <c r="M17" s="62">
        <f t="shared" si="2"/>
        <v>29</v>
      </c>
      <c r="N17" s="379" t="s">
        <v>383</v>
      </c>
      <c r="O17" s="380"/>
      <c r="P17" s="386"/>
      <c r="Q17" s="379" t="s">
        <v>443</v>
      </c>
      <c r="R17" s="380"/>
      <c r="S17" s="380"/>
      <c r="T17" s="379" t="s">
        <v>271</v>
      </c>
      <c r="U17" s="380"/>
      <c r="V17" s="386"/>
      <c r="W17" s="379" t="s">
        <v>295</v>
      </c>
      <c r="X17" s="380"/>
      <c r="Y17" s="380"/>
      <c r="Z17" s="379"/>
      <c r="AA17" s="380"/>
      <c r="AB17" s="380"/>
      <c r="AC17" s="380"/>
      <c r="AD17" s="380"/>
      <c r="AE17" s="380"/>
      <c r="AF17" s="380"/>
      <c r="AG17" s="380"/>
      <c r="AH17" s="380"/>
      <c r="AI17" s="380"/>
      <c r="AJ17" s="380"/>
      <c r="AK17" s="380"/>
      <c r="AL17" s="380"/>
      <c r="AM17" s="380"/>
      <c r="AN17" s="380"/>
      <c r="AO17" s="380"/>
      <c r="AP17" s="380"/>
      <c r="AQ17" s="380"/>
      <c r="AR17" s="380"/>
      <c r="AS17" s="381"/>
      <c r="AT17" s="48"/>
      <c r="AV17" s="40" t="str">
        <v>Logistics_Delay</v>
      </c>
      <c r="AW17" s="40">
        <f t="shared" ca="1" si="0"/>
        <v>0</v>
      </c>
      <c r="AX17" s="40" t="str">
        <f t="shared" ca="1" si="1"/>
        <v/>
      </c>
    </row>
    <row r="18" spans="2:52" s="40" customFormat="1" ht="9.9499999999999993" customHeight="1" x14ac:dyDescent="0.3">
      <c r="B18" s="63"/>
      <c r="C18" s="448">
        <f>IFERROR(TIME(HOUR(C14) + 1, 0, 0), "")</f>
        <v>0.33333333333333331</v>
      </c>
      <c r="D18" s="449"/>
      <c r="E18" s="411"/>
      <c r="F18" s="412"/>
      <c r="G18" s="415"/>
      <c r="H18" s="416"/>
      <c r="I18" s="401"/>
      <c r="J18" s="401"/>
      <c r="K18" s="401"/>
      <c r="L18" s="401"/>
      <c r="M18" s="62" t="str">
        <f>IF(K18+I18=0,"",K18+I18)</f>
        <v/>
      </c>
      <c r="N18" s="379"/>
      <c r="O18" s="380"/>
      <c r="P18" s="386"/>
      <c r="Q18" s="379"/>
      <c r="R18" s="380"/>
      <c r="S18" s="380"/>
      <c r="T18" s="379"/>
      <c r="U18" s="380"/>
      <c r="V18" s="386"/>
      <c r="W18" s="379"/>
      <c r="X18" s="380"/>
      <c r="Y18" s="380"/>
      <c r="Z18" s="379"/>
      <c r="AA18" s="380"/>
      <c r="AB18" s="380"/>
      <c r="AC18" s="380"/>
      <c r="AD18" s="380"/>
      <c r="AE18" s="380"/>
      <c r="AF18" s="380"/>
      <c r="AG18" s="380"/>
      <c r="AH18" s="380"/>
      <c r="AI18" s="380"/>
      <c r="AJ18" s="380"/>
      <c r="AK18" s="380"/>
      <c r="AL18" s="380"/>
      <c r="AM18" s="380"/>
      <c r="AN18" s="380"/>
      <c r="AO18" s="380"/>
      <c r="AP18" s="380"/>
      <c r="AQ18" s="380"/>
      <c r="AR18" s="380"/>
      <c r="AS18" s="381"/>
      <c r="AT18" s="48"/>
      <c r="AV18" s="40" t="str">
        <v>IT_System_Failure</v>
      </c>
      <c r="AW18" s="40">
        <f t="shared" ca="1" si="0"/>
        <v>0</v>
      </c>
      <c r="AX18" s="40" t="str">
        <f t="shared" ca="1" si="1"/>
        <v/>
      </c>
      <c r="AZ18" s="61"/>
    </row>
    <row r="19" spans="2:52" s="40" customFormat="1" ht="9.9499999999999993" customHeight="1" x14ac:dyDescent="0.3">
      <c r="B19" s="63"/>
      <c r="C19" s="448"/>
      <c r="D19" s="449"/>
      <c r="E19" s="411"/>
      <c r="F19" s="412"/>
      <c r="G19" s="415"/>
      <c r="H19" s="416"/>
      <c r="I19" s="401"/>
      <c r="J19" s="401"/>
      <c r="K19" s="401"/>
      <c r="L19" s="401"/>
      <c r="M19" s="62" t="str">
        <f t="shared" si="2"/>
        <v/>
      </c>
      <c r="N19" s="379"/>
      <c r="O19" s="380"/>
      <c r="P19" s="386"/>
      <c r="Q19" s="379"/>
      <c r="R19" s="380"/>
      <c r="S19" s="380"/>
      <c r="T19" s="379"/>
      <c r="U19" s="380"/>
      <c r="V19" s="386"/>
      <c r="W19" s="379"/>
      <c r="X19" s="380"/>
      <c r="Y19" s="380"/>
      <c r="Z19" s="379"/>
      <c r="AA19" s="380"/>
      <c r="AB19" s="380"/>
      <c r="AC19" s="380"/>
      <c r="AD19" s="380"/>
      <c r="AE19" s="380"/>
      <c r="AF19" s="380"/>
      <c r="AG19" s="380"/>
      <c r="AH19" s="380"/>
      <c r="AI19" s="380"/>
      <c r="AJ19" s="380"/>
      <c r="AK19" s="380"/>
      <c r="AL19" s="380"/>
      <c r="AM19" s="380"/>
      <c r="AN19" s="380"/>
      <c r="AO19" s="380"/>
      <c r="AP19" s="380"/>
      <c r="AQ19" s="380"/>
      <c r="AR19" s="380"/>
      <c r="AS19" s="381"/>
      <c r="AT19" s="48"/>
      <c r="AV19" s="64" t="str">
        <v>Accident_Safety_Stop</v>
      </c>
      <c r="AW19" s="40">
        <f t="shared" ca="1" si="0"/>
        <v>0</v>
      </c>
      <c r="AX19" s="40" t="str">
        <f t="shared" ca="1" si="1"/>
        <v/>
      </c>
      <c r="AZ19" s="61"/>
    </row>
    <row r="20" spans="2:52" s="40" customFormat="1" ht="9.9499999999999993" customHeight="1" x14ac:dyDescent="0.3">
      <c r="B20" s="63"/>
      <c r="C20" s="448"/>
      <c r="D20" s="449"/>
      <c r="E20" s="399"/>
      <c r="F20" s="400"/>
      <c r="G20" s="417"/>
      <c r="H20" s="418"/>
      <c r="I20" s="401"/>
      <c r="J20" s="401"/>
      <c r="K20" s="401"/>
      <c r="L20" s="401"/>
      <c r="M20" s="62" t="str">
        <f t="shared" si="2"/>
        <v/>
      </c>
      <c r="N20" s="379"/>
      <c r="O20" s="380"/>
      <c r="P20" s="386"/>
      <c r="Q20" s="379"/>
      <c r="R20" s="380"/>
      <c r="S20" s="380"/>
      <c r="T20" s="379"/>
      <c r="U20" s="380"/>
      <c r="V20" s="386"/>
      <c r="W20" s="379"/>
      <c r="X20" s="380"/>
      <c r="Y20" s="380"/>
      <c r="Z20" s="379"/>
      <c r="AA20" s="380"/>
      <c r="AB20" s="380"/>
      <c r="AC20" s="380"/>
      <c r="AD20" s="380"/>
      <c r="AE20" s="380"/>
      <c r="AF20" s="380"/>
      <c r="AG20" s="380"/>
      <c r="AH20" s="380"/>
      <c r="AI20" s="380"/>
      <c r="AJ20" s="380"/>
      <c r="AK20" s="380"/>
      <c r="AL20" s="380"/>
      <c r="AM20" s="380"/>
      <c r="AN20" s="380"/>
      <c r="AO20" s="380"/>
      <c r="AP20" s="380"/>
      <c r="AQ20" s="380"/>
      <c r="AR20" s="380"/>
      <c r="AS20" s="381"/>
      <c r="AT20" s="48"/>
      <c r="AV20" s="40" t="str">
        <v>Operator_Absence</v>
      </c>
      <c r="AW20" s="40">
        <f t="shared" ca="1" si="0"/>
        <v>0</v>
      </c>
      <c r="AX20" s="40" t="str">
        <f t="shared" ca="1" si="1"/>
        <v/>
      </c>
    </row>
    <row r="21" spans="2:52" s="40" customFormat="1" ht="9.9499999999999993" customHeight="1" x14ac:dyDescent="0.3">
      <c r="B21" s="63"/>
      <c r="C21" s="448"/>
      <c r="D21" s="449"/>
      <c r="E21" s="393">
        <f ca="1">IFERROR(E14, "")</f>
        <v>9</v>
      </c>
      <c r="F21" s="394"/>
      <c r="G21" s="397">
        <f>G14</f>
        <v>10</v>
      </c>
      <c r="H21" s="398"/>
      <c r="I21" s="401"/>
      <c r="J21" s="401"/>
      <c r="K21" s="401"/>
      <c r="L21" s="401"/>
      <c r="M21" s="62" t="str">
        <f t="shared" si="2"/>
        <v/>
      </c>
      <c r="N21" s="379"/>
      <c r="O21" s="380"/>
      <c r="P21" s="386"/>
      <c r="Q21" s="379"/>
      <c r="R21" s="380"/>
      <c r="S21" s="380"/>
      <c r="T21" s="379"/>
      <c r="U21" s="380"/>
      <c r="V21" s="386"/>
      <c r="W21" s="379"/>
      <c r="X21" s="380"/>
      <c r="Y21" s="380"/>
      <c r="Z21" s="379"/>
      <c r="AA21" s="380"/>
      <c r="AB21" s="380"/>
      <c r="AC21" s="380"/>
      <c r="AD21" s="380"/>
      <c r="AE21" s="380"/>
      <c r="AF21" s="380"/>
      <c r="AG21" s="380"/>
      <c r="AH21" s="380"/>
      <c r="AI21" s="380"/>
      <c r="AJ21" s="380"/>
      <c r="AK21" s="380"/>
      <c r="AL21" s="380"/>
      <c r="AM21" s="380"/>
      <c r="AN21" s="380"/>
      <c r="AO21" s="380"/>
      <c r="AP21" s="380"/>
      <c r="AQ21" s="380"/>
      <c r="AR21" s="380"/>
      <c r="AS21" s="381"/>
      <c r="AT21" s="48"/>
      <c r="AV21" s="40" t="str">
        <v>No_Production</v>
      </c>
      <c r="AW21" s="40">
        <f t="shared" ca="1" si="0"/>
        <v>0</v>
      </c>
      <c r="AX21" s="40" t="str">
        <f t="shared" ca="1" si="1"/>
        <v/>
      </c>
    </row>
    <row r="22" spans="2:52" s="40" customFormat="1" ht="9.9499999999999993" customHeight="1" x14ac:dyDescent="0.3">
      <c r="B22" s="63"/>
      <c r="C22" s="450"/>
      <c r="D22" s="451"/>
      <c r="E22" s="395"/>
      <c r="F22" s="396"/>
      <c r="G22" s="399"/>
      <c r="H22" s="400"/>
      <c r="I22" s="401"/>
      <c r="J22" s="401"/>
      <c r="K22" s="401"/>
      <c r="L22" s="401"/>
      <c r="M22" s="65" t="str">
        <f t="shared" si="2"/>
        <v/>
      </c>
      <c r="N22" s="382"/>
      <c r="O22" s="383"/>
      <c r="P22" s="384"/>
      <c r="Q22" s="382"/>
      <c r="R22" s="383"/>
      <c r="S22" s="383"/>
      <c r="T22" s="382"/>
      <c r="U22" s="383"/>
      <c r="V22" s="384"/>
      <c r="W22" s="382"/>
      <c r="X22" s="383"/>
      <c r="Y22" s="383"/>
      <c r="Z22" s="382"/>
      <c r="AA22" s="383"/>
      <c r="AB22" s="383"/>
      <c r="AC22" s="383"/>
      <c r="AD22" s="383"/>
      <c r="AE22" s="383"/>
      <c r="AF22" s="383"/>
      <c r="AG22" s="383"/>
      <c r="AH22" s="383"/>
      <c r="AI22" s="383"/>
      <c r="AJ22" s="383"/>
      <c r="AK22" s="383"/>
      <c r="AL22" s="383"/>
      <c r="AM22" s="383"/>
      <c r="AN22" s="383"/>
      <c r="AO22" s="383"/>
      <c r="AP22" s="383"/>
      <c r="AQ22" s="383"/>
      <c r="AR22" s="383"/>
      <c r="AS22" s="385"/>
      <c r="AT22" s="48"/>
      <c r="AV22" s="40" t="str">
        <v>Break</v>
      </c>
      <c r="AW22" s="40">
        <f t="shared" ca="1" si="0"/>
        <v>50</v>
      </c>
      <c r="AX22" s="40" t="str">
        <f t="shared" ca="1" si="1"/>
        <v>Break</v>
      </c>
    </row>
    <row r="23" spans="2:52" s="40" customFormat="1" ht="9.9499999999999993" customHeight="1" x14ac:dyDescent="0.3">
      <c r="B23" s="63"/>
      <c r="C23" s="446">
        <f>C18</f>
        <v>0.33333333333333331</v>
      </c>
      <c r="D23" s="447"/>
      <c r="E23" s="397">
        <f ca="1">IFERROR(
  _xlfn.LET(
    _xlpm.time_diff,
    MOD(C27 - C23, 1),
    _xlpm.minutes,
    MINUTE(_xlpm.time_diff),
    _xlpm.pausas,
    SUMIF($T23:$V31, "Pausa", $K23:$L31),
    _xlpm.efficiency,
    (1 - _xlpm.pausas / IF(_xlpm.minutes = 0, 60, _xlpm.minutes)),
    _xlpm.result,
    IF(
       _xlpm.minutes = 0,
       ROUND(60 * 60 / cycle_time_welding * _xlpm.efficiency, 0),
       ROUND(_xlpm.minutes * 60 / cycle_time_weldingç * _xlpm.efficiency, 0)
      ),
    _xlpm.result
  ),
0)</f>
        <v>11</v>
      </c>
      <c r="F23" s="398"/>
      <c r="G23" s="413">
        <v>10</v>
      </c>
      <c r="H23" s="414"/>
      <c r="I23" s="419"/>
      <c r="J23" s="419"/>
      <c r="K23" s="419"/>
      <c r="L23" s="419"/>
      <c r="M23" s="66" t="str">
        <f t="shared" si="2"/>
        <v/>
      </c>
      <c r="N23" s="387"/>
      <c r="O23" s="388"/>
      <c r="P23" s="389"/>
      <c r="Q23" s="387"/>
      <c r="R23" s="388"/>
      <c r="S23" s="389"/>
      <c r="T23" s="379"/>
      <c r="U23" s="380"/>
      <c r="V23" s="386"/>
      <c r="W23" s="387"/>
      <c r="X23" s="388"/>
      <c r="Y23" s="389"/>
      <c r="Z23" s="387"/>
      <c r="AA23" s="388"/>
      <c r="AB23" s="388"/>
      <c r="AC23" s="388"/>
      <c r="AD23" s="388"/>
      <c r="AE23" s="388"/>
      <c r="AF23" s="388"/>
      <c r="AG23" s="388"/>
      <c r="AH23" s="388"/>
      <c r="AI23" s="388"/>
      <c r="AJ23" s="388"/>
      <c r="AK23" s="388"/>
      <c r="AL23" s="388"/>
      <c r="AM23" s="388"/>
      <c r="AN23" s="388"/>
      <c r="AO23" s="388"/>
      <c r="AP23" s="388"/>
      <c r="AQ23" s="388"/>
      <c r="AR23" s="388"/>
      <c r="AS23" s="452"/>
      <c r="AT23" s="48"/>
      <c r="AW23" s="61"/>
    </row>
    <row r="24" spans="2:52" s="40" customFormat="1" ht="9.9499999999999993" customHeight="1" x14ac:dyDescent="0.3">
      <c r="B24" s="63"/>
      <c r="C24" s="448"/>
      <c r="D24" s="449"/>
      <c r="E24" s="411"/>
      <c r="F24" s="412"/>
      <c r="G24" s="415"/>
      <c r="H24" s="416"/>
      <c r="I24" s="401"/>
      <c r="J24" s="401"/>
      <c r="K24" s="401"/>
      <c r="L24" s="401"/>
      <c r="M24" s="66" t="str">
        <f t="shared" si="2"/>
        <v/>
      </c>
      <c r="N24" s="379"/>
      <c r="O24" s="380"/>
      <c r="P24" s="386"/>
      <c r="Q24" s="379"/>
      <c r="R24" s="380"/>
      <c r="S24" s="386"/>
      <c r="T24" s="379"/>
      <c r="U24" s="380"/>
      <c r="V24" s="386"/>
      <c r="W24" s="379"/>
      <c r="X24" s="380"/>
      <c r="Y24" s="386"/>
      <c r="Z24" s="379"/>
      <c r="AA24" s="380"/>
      <c r="AB24" s="380"/>
      <c r="AC24" s="380"/>
      <c r="AD24" s="380"/>
      <c r="AE24" s="380"/>
      <c r="AF24" s="380"/>
      <c r="AG24" s="380"/>
      <c r="AH24" s="380"/>
      <c r="AI24" s="380"/>
      <c r="AJ24" s="380"/>
      <c r="AK24" s="380"/>
      <c r="AL24" s="380"/>
      <c r="AM24" s="380"/>
      <c r="AN24" s="380"/>
      <c r="AO24" s="380"/>
      <c r="AP24" s="380"/>
      <c r="AQ24" s="380"/>
      <c r="AR24" s="380"/>
      <c r="AS24" s="381"/>
      <c r="AT24" s="48"/>
      <c r="AW24" s="61"/>
    </row>
    <row r="25" spans="2:52" s="40" customFormat="1" ht="9.9499999999999993" customHeight="1" x14ac:dyDescent="0.3">
      <c r="B25" s="63"/>
      <c r="C25" s="448"/>
      <c r="D25" s="449"/>
      <c r="E25" s="411"/>
      <c r="F25" s="412"/>
      <c r="G25" s="415"/>
      <c r="H25" s="416"/>
      <c r="I25" s="401"/>
      <c r="J25" s="401"/>
      <c r="K25" s="401"/>
      <c r="L25" s="401"/>
      <c r="M25" s="66" t="str">
        <f t="shared" si="2"/>
        <v/>
      </c>
      <c r="N25" s="379"/>
      <c r="O25" s="380"/>
      <c r="P25" s="386"/>
      <c r="Q25" s="379"/>
      <c r="R25" s="380"/>
      <c r="S25" s="386"/>
      <c r="T25" s="379"/>
      <c r="U25" s="380"/>
      <c r="V25" s="386"/>
      <c r="W25" s="379"/>
      <c r="X25" s="380"/>
      <c r="Y25" s="386"/>
      <c r="Z25" s="379"/>
      <c r="AA25" s="380"/>
      <c r="AB25" s="380"/>
      <c r="AC25" s="380"/>
      <c r="AD25" s="380"/>
      <c r="AE25" s="380"/>
      <c r="AF25" s="380"/>
      <c r="AG25" s="380"/>
      <c r="AH25" s="380"/>
      <c r="AI25" s="380"/>
      <c r="AJ25" s="380"/>
      <c r="AK25" s="380"/>
      <c r="AL25" s="380"/>
      <c r="AM25" s="380"/>
      <c r="AN25" s="380"/>
      <c r="AO25" s="380"/>
      <c r="AP25" s="380"/>
      <c r="AQ25" s="380"/>
      <c r="AR25" s="380"/>
      <c r="AS25" s="381"/>
      <c r="AT25" s="48"/>
      <c r="AW25" s="61"/>
    </row>
    <row r="26" spans="2:52" s="40" customFormat="1" ht="9.9499999999999993" customHeight="1" x14ac:dyDescent="0.3">
      <c r="B26" s="63"/>
      <c r="C26" s="448"/>
      <c r="D26" s="449"/>
      <c r="E26" s="411"/>
      <c r="F26" s="412"/>
      <c r="G26" s="415"/>
      <c r="H26" s="416"/>
      <c r="I26" s="401"/>
      <c r="J26" s="401"/>
      <c r="K26" s="401"/>
      <c r="L26" s="401"/>
      <c r="M26" s="66" t="str">
        <f t="shared" si="2"/>
        <v/>
      </c>
      <c r="N26" s="379"/>
      <c r="O26" s="380"/>
      <c r="P26" s="386"/>
      <c r="Q26" s="379"/>
      <c r="R26" s="380"/>
      <c r="S26" s="386"/>
      <c r="T26" s="379"/>
      <c r="U26" s="380"/>
      <c r="V26" s="386"/>
      <c r="W26" s="379"/>
      <c r="X26" s="380"/>
      <c r="Y26" s="386"/>
      <c r="Z26" s="379"/>
      <c r="AA26" s="380"/>
      <c r="AB26" s="380"/>
      <c r="AC26" s="380"/>
      <c r="AD26" s="380"/>
      <c r="AE26" s="380"/>
      <c r="AF26" s="380"/>
      <c r="AG26" s="380"/>
      <c r="AH26" s="380"/>
      <c r="AI26" s="380"/>
      <c r="AJ26" s="380"/>
      <c r="AK26" s="380"/>
      <c r="AL26" s="380"/>
      <c r="AM26" s="380"/>
      <c r="AN26" s="380"/>
      <c r="AO26" s="380"/>
      <c r="AP26" s="380"/>
      <c r="AQ26" s="380"/>
      <c r="AR26" s="380"/>
      <c r="AS26" s="381"/>
      <c r="AT26" s="48"/>
    </row>
    <row r="27" spans="2:52" s="40" customFormat="1" ht="9.9499999999999993" customHeight="1" x14ac:dyDescent="0.3">
      <c r="B27" s="63"/>
      <c r="C27" s="448">
        <f>IFERROR(TIME(HOUR(C23) + 1, 0, 0), "")</f>
        <v>0.375</v>
      </c>
      <c r="D27" s="449"/>
      <c r="E27" s="411"/>
      <c r="F27" s="412"/>
      <c r="G27" s="415"/>
      <c r="H27" s="416"/>
      <c r="I27" s="401"/>
      <c r="J27" s="401"/>
      <c r="K27" s="401"/>
      <c r="L27" s="401"/>
      <c r="M27" s="66" t="str">
        <f t="shared" si="2"/>
        <v/>
      </c>
      <c r="N27" s="379"/>
      <c r="O27" s="380"/>
      <c r="P27" s="386"/>
      <c r="Q27" s="379"/>
      <c r="R27" s="380"/>
      <c r="S27" s="386"/>
      <c r="T27" s="379"/>
      <c r="U27" s="380"/>
      <c r="V27" s="386"/>
      <c r="W27" s="379"/>
      <c r="X27" s="380"/>
      <c r="Y27" s="386"/>
      <c r="Z27" s="379"/>
      <c r="AA27" s="380"/>
      <c r="AB27" s="380"/>
      <c r="AC27" s="380"/>
      <c r="AD27" s="380"/>
      <c r="AE27" s="380"/>
      <c r="AF27" s="380"/>
      <c r="AG27" s="380"/>
      <c r="AH27" s="380"/>
      <c r="AI27" s="380"/>
      <c r="AJ27" s="380"/>
      <c r="AK27" s="380"/>
      <c r="AL27" s="380"/>
      <c r="AM27" s="380"/>
      <c r="AN27" s="380"/>
      <c r="AO27" s="380"/>
      <c r="AP27" s="380"/>
      <c r="AQ27" s="380"/>
      <c r="AR27" s="380"/>
      <c r="AS27" s="381"/>
      <c r="AT27" s="48"/>
    </row>
    <row r="28" spans="2:52" s="40" customFormat="1" ht="9.9499999999999993" customHeight="1" x14ac:dyDescent="0.3">
      <c r="B28" s="63"/>
      <c r="C28" s="448"/>
      <c r="D28" s="449"/>
      <c r="E28" s="411"/>
      <c r="F28" s="412"/>
      <c r="G28" s="415"/>
      <c r="H28" s="416"/>
      <c r="I28" s="401"/>
      <c r="J28" s="401"/>
      <c r="K28" s="401"/>
      <c r="L28" s="401"/>
      <c r="M28" s="66" t="str">
        <f t="shared" si="2"/>
        <v/>
      </c>
      <c r="N28" s="379"/>
      <c r="O28" s="380"/>
      <c r="P28" s="386"/>
      <c r="Q28" s="379"/>
      <c r="R28" s="380"/>
      <c r="S28" s="386"/>
      <c r="T28" s="379"/>
      <c r="U28" s="380"/>
      <c r="V28" s="386"/>
      <c r="W28" s="379"/>
      <c r="X28" s="380"/>
      <c r="Y28" s="386"/>
      <c r="Z28" s="379"/>
      <c r="AA28" s="380"/>
      <c r="AB28" s="380"/>
      <c r="AC28" s="380"/>
      <c r="AD28" s="380"/>
      <c r="AE28" s="380"/>
      <c r="AF28" s="380"/>
      <c r="AG28" s="380"/>
      <c r="AH28" s="380"/>
      <c r="AI28" s="380"/>
      <c r="AJ28" s="380"/>
      <c r="AK28" s="380"/>
      <c r="AL28" s="380"/>
      <c r="AM28" s="380"/>
      <c r="AN28" s="380"/>
      <c r="AO28" s="380"/>
      <c r="AP28" s="380"/>
      <c r="AQ28" s="380"/>
      <c r="AR28" s="380"/>
      <c r="AS28" s="381"/>
      <c r="AT28" s="48"/>
    </row>
    <row r="29" spans="2:52" s="40" customFormat="1" ht="9.9499999999999993" customHeight="1" x14ac:dyDescent="0.3">
      <c r="B29" s="63"/>
      <c r="C29" s="448"/>
      <c r="D29" s="449"/>
      <c r="E29" s="399"/>
      <c r="F29" s="400"/>
      <c r="G29" s="417"/>
      <c r="H29" s="418"/>
      <c r="I29" s="401"/>
      <c r="J29" s="401"/>
      <c r="K29" s="401"/>
      <c r="L29" s="401"/>
      <c r="M29" s="66" t="str">
        <f t="shared" si="2"/>
        <v/>
      </c>
      <c r="N29" s="379"/>
      <c r="O29" s="380"/>
      <c r="P29" s="386"/>
      <c r="Q29" s="379"/>
      <c r="R29" s="380"/>
      <c r="S29" s="386"/>
      <c r="T29" s="379"/>
      <c r="U29" s="380"/>
      <c r="V29" s="386"/>
      <c r="W29" s="379"/>
      <c r="X29" s="380"/>
      <c r="Y29" s="386"/>
      <c r="Z29" s="379"/>
      <c r="AA29" s="380"/>
      <c r="AB29" s="380"/>
      <c r="AC29" s="380"/>
      <c r="AD29" s="380"/>
      <c r="AE29" s="380"/>
      <c r="AF29" s="380"/>
      <c r="AG29" s="380"/>
      <c r="AH29" s="380"/>
      <c r="AI29" s="380"/>
      <c r="AJ29" s="380"/>
      <c r="AK29" s="380"/>
      <c r="AL29" s="380"/>
      <c r="AM29" s="380"/>
      <c r="AN29" s="380"/>
      <c r="AO29" s="380"/>
      <c r="AP29" s="380"/>
      <c r="AQ29" s="380"/>
      <c r="AR29" s="380"/>
      <c r="AS29" s="381"/>
      <c r="AT29" s="48"/>
    </row>
    <row r="30" spans="2:52" s="40" customFormat="1" ht="9.9499999999999993" customHeight="1" x14ac:dyDescent="0.3">
      <c r="B30" s="63"/>
      <c r="C30" s="448"/>
      <c r="D30" s="449"/>
      <c r="E30" s="393">
        <f ca="1">IFERROR(E21 + E23, "")</f>
        <v>20</v>
      </c>
      <c r="F30" s="394"/>
      <c r="G30" s="397">
        <f>G21+G23</f>
        <v>20</v>
      </c>
      <c r="H30" s="398"/>
      <c r="I30" s="401"/>
      <c r="J30" s="401"/>
      <c r="K30" s="401"/>
      <c r="L30" s="401"/>
      <c r="M30" s="66" t="str">
        <f t="shared" si="2"/>
        <v/>
      </c>
      <c r="N30" s="379"/>
      <c r="O30" s="380"/>
      <c r="P30" s="386"/>
      <c r="Q30" s="379"/>
      <c r="R30" s="380"/>
      <c r="S30" s="386"/>
      <c r="T30" s="379"/>
      <c r="U30" s="380"/>
      <c r="V30" s="386"/>
      <c r="W30" s="379"/>
      <c r="X30" s="380"/>
      <c r="Y30" s="386"/>
      <c r="Z30" s="379"/>
      <c r="AA30" s="380"/>
      <c r="AB30" s="380"/>
      <c r="AC30" s="380"/>
      <c r="AD30" s="380"/>
      <c r="AE30" s="380"/>
      <c r="AF30" s="380"/>
      <c r="AG30" s="380"/>
      <c r="AH30" s="380"/>
      <c r="AI30" s="380"/>
      <c r="AJ30" s="380"/>
      <c r="AK30" s="380"/>
      <c r="AL30" s="380"/>
      <c r="AM30" s="380"/>
      <c r="AN30" s="380"/>
      <c r="AO30" s="380"/>
      <c r="AP30" s="380"/>
      <c r="AQ30" s="380"/>
      <c r="AR30" s="380"/>
      <c r="AS30" s="381"/>
      <c r="AT30" s="48"/>
    </row>
    <row r="31" spans="2:52" s="40" customFormat="1" ht="9.9499999999999993" customHeight="1" x14ac:dyDescent="0.3">
      <c r="B31" s="63"/>
      <c r="C31" s="450"/>
      <c r="D31" s="451"/>
      <c r="E31" s="395"/>
      <c r="F31" s="396"/>
      <c r="G31" s="399"/>
      <c r="H31" s="400"/>
      <c r="I31" s="401"/>
      <c r="J31" s="401"/>
      <c r="K31" s="401"/>
      <c r="L31" s="401"/>
      <c r="M31" s="67" t="str">
        <f t="shared" si="2"/>
        <v/>
      </c>
      <c r="N31" s="382"/>
      <c r="O31" s="383"/>
      <c r="P31" s="384"/>
      <c r="Q31" s="382"/>
      <c r="R31" s="383"/>
      <c r="S31" s="384"/>
      <c r="T31" s="382"/>
      <c r="U31" s="383"/>
      <c r="V31" s="384"/>
      <c r="W31" s="382"/>
      <c r="X31" s="383"/>
      <c r="Y31" s="384"/>
      <c r="Z31" s="382"/>
      <c r="AA31" s="383"/>
      <c r="AB31" s="383"/>
      <c r="AC31" s="383"/>
      <c r="AD31" s="383"/>
      <c r="AE31" s="383"/>
      <c r="AF31" s="383"/>
      <c r="AG31" s="383"/>
      <c r="AH31" s="383"/>
      <c r="AI31" s="383"/>
      <c r="AJ31" s="383"/>
      <c r="AK31" s="383"/>
      <c r="AL31" s="383"/>
      <c r="AM31" s="383"/>
      <c r="AN31" s="383"/>
      <c r="AO31" s="383"/>
      <c r="AP31" s="383"/>
      <c r="AQ31" s="383"/>
      <c r="AR31" s="383"/>
      <c r="AS31" s="385"/>
      <c r="AT31" s="48"/>
    </row>
    <row r="32" spans="2:52" s="40" customFormat="1" ht="9.9499999999999993" customHeight="1" x14ac:dyDescent="0.3">
      <c r="B32" s="63"/>
      <c r="C32" s="446">
        <f>C27</f>
        <v>0.375</v>
      </c>
      <c r="D32" s="447"/>
      <c r="E32" s="397">
        <f ca="1">IFERROR(
  _xlfn.LET(
    _xlpm.time_diff,
    MOD(C36 - C32, 1),
    _xlpm.minutes,
    MINUTE(_xlpm.time_diff),
    _xlpm.pausas,
    SUMIF($T32:$V40, "Pausa", $K32:$L40),
    _xlpm.efficiency,
    (1 - _xlpm.pausas / IF(_xlpm.minutes = 0, 60, _xlpm.minutes)),
    _xlpm.result,
    IF(
       _xlpm.minutes = 0,
       ROUND(60 * 60 / cycle_time_welding * _xlpm.efficiency, 0),
       ROUND(_xlpm.minutes * 60 / cycle_time_welding * _xlpm.efficiency, 0)
      ),
    _xlpm.result
  ),
0)</f>
        <v>11</v>
      </c>
      <c r="F32" s="398"/>
      <c r="G32" s="413">
        <v>10</v>
      </c>
      <c r="H32" s="414"/>
      <c r="I32" s="419"/>
      <c r="J32" s="419"/>
      <c r="K32" s="419">
        <f>IF(Q5 = "X", 10, IF(R5 = "X", 10, IF(S5 = "X", 10, 0)))</f>
        <v>10</v>
      </c>
      <c r="L32" s="419"/>
      <c r="M32" s="112">
        <f t="shared" si="2"/>
        <v>10</v>
      </c>
      <c r="N32" s="387"/>
      <c r="O32" s="388"/>
      <c r="P32" s="389"/>
      <c r="Q32" s="387"/>
      <c r="R32" s="388"/>
      <c r="S32" s="389"/>
      <c r="T32" s="387" t="str">
        <f>IF($Q$5 = "X", "Break", IF($R$5 = "X", "Break", IF($S$5 = "X", "Break", "")))</f>
        <v>Break</v>
      </c>
      <c r="U32" s="388"/>
      <c r="V32" s="389"/>
      <c r="W32" s="387"/>
      <c r="X32" s="388"/>
      <c r="Y32" s="389"/>
      <c r="Z32" s="387"/>
      <c r="AA32" s="388"/>
      <c r="AB32" s="388"/>
      <c r="AC32" s="388"/>
      <c r="AD32" s="388"/>
      <c r="AE32" s="388"/>
      <c r="AF32" s="388"/>
      <c r="AG32" s="388"/>
      <c r="AH32" s="388"/>
      <c r="AI32" s="388"/>
      <c r="AJ32" s="388"/>
      <c r="AK32" s="388"/>
      <c r="AL32" s="388"/>
      <c r="AM32" s="388"/>
      <c r="AN32" s="388"/>
      <c r="AO32" s="388"/>
      <c r="AP32" s="388"/>
      <c r="AQ32" s="388"/>
      <c r="AR32" s="388"/>
      <c r="AS32" s="452"/>
      <c r="AT32" s="48"/>
    </row>
    <row r="33" spans="2:48" s="40" customFormat="1" ht="9.9499999999999993" customHeight="1" x14ac:dyDescent="0.3">
      <c r="B33" s="63"/>
      <c r="C33" s="448"/>
      <c r="D33" s="449"/>
      <c r="E33" s="411"/>
      <c r="F33" s="412"/>
      <c r="G33" s="415"/>
      <c r="H33" s="416"/>
      <c r="I33" s="401"/>
      <c r="J33" s="401"/>
      <c r="K33" s="401"/>
      <c r="L33" s="401"/>
      <c r="M33" s="66" t="str">
        <f t="shared" si="2"/>
        <v/>
      </c>
      <c r="N33" s="379"/>
      <c r="O33" s="380"/>
      <c r="P33" s="386"/>
      <c r="Q33" s="379"/>
      <c r="R33" s="380"/>
      <c r="S33" s="386"/>
      <c r="T33" s="379"/>
      <c r="U33" s="380"/>
      <c r="V33" s="386"/>
      <c r="W33" s="379"/>
      <c r="X33" s="380"/>
      <c r="Y33" s="386"/>
      <c r="Z33" s="379"/>
      <c r="AA33" s="380"/>
      <c r="AB33" s="380"/>
      <c r="AC33" s="380"/>
      <c r="AD33" s="380"/>
      <c r="AE33" s="380"/>
      <c r="AF33" s="380"/>
      <c r="AG33" s="380"/>
      <c r="AH33" s="380"/>
      <c r="AI33" s="380"/>
      <c r="AJ33" s="380"/>
      <c r="AK33" s="380"/>
      <c r="AL33" s="380"/>
      <c r="AM33" s="380"/>
      <c r="AN33" s="380"/>
      <c r="AO33" s="380"/>
      <c r="AP33" s="380"/>
      <c r="AQ33" s="380"/>
      <c r="AR33" s="380"/>
      <c r="AS33" s="381"/>
      <c r="AT33" s="48"/>
    </row>
    <row r="34" spans="2:48" s="40" customFormat="1" ht="9.9499999999999993" customHeight="1" x14ac:dyDescent="0.3">
      <c r="B34" s="63"/>
      <c r="C34" s="448"/>
      <c r="D34" s="449"/>
      <c r="E34" s="411"/>
      <c r="F34" s="412"/>
      <c r="G34" s="415"/>
      <c r="H34" s="416"/>
      <c r="I34" s="401"/>
      <c r="J34" s="401"/>
      <c r="K34" s="401"/>
      <c r="L34" s="401"/>
      <c r="M34" s="66" t="str">
        <f t="shared" si="2"/>
        <v/>
      </c>
      <c r="N34" s="379"/>
      <c r="O34" s="380"/>
      <c r="P34" s="386"/>
      <c r="Q34" s="379"/>
      <c r="R34" s="380"/>
      <c r="S34" s="386"/>
      <c r="T34" s="379"/>
      <c r="U34" s="380"/>
      <c r="V34" s="386"/>
      <c r="W34" s="379"/>
      <c r="X34" s="380"/>
      <c r="Y34" s="386"/>
      <c r="Z34" s="379"/>
      <c r="AA34" s="380"/>
      <c r="AB34" s="380"/>
      <c r="AC34" s="380"/>
      <c r="AD34" s="380"/>
      <c r="AE34" s="380"/>
      <c r="AF34" s="380"/>
      <c r="AG34" s="380"/>
      <c r="AH34" s="380"/>
      <c r="AI34" s="380"/>
      <c r="AJ34" s="380"/>
      <c r="AK34" s="380"/>
      <c r="AL34" s="380"/>
      <c r="AM34" s="380"/>
      <c r="AN34" s="380"/>
      <c r="AO34" s="380"/>
      <c r="AP34" s="380"/>
      <c r="AQ34" s="380"/>
      <c r="AR34" s="380"/>
      <c r="AS34" s="381"/>
      <c r="AT34" s="48"/>
    </row>
    <row r="35" spans="2:48" s="40" customFormat="1" ht="9.9499999999999993" customHeight="1" x14ac:dyDescent="0.3">
      <c r="B35" s="63"/>
      <c r="C35" s="448"/>
      <c r="D35" s="449"/>
      <c r="E35" s="411"/>
      <c r="F35" s="412"/>
      <c r="G35" s="415"/>
      <c r="H35" s="416"/>
      <c r="I35" s="401"/>
      <c r="J35" s="401"/>
      <c r="K35" s="401"/>
      <c r="L35" s="401"/>
      <c r="M35" s="66" t="str">
        <f t="shared" si="2"/>
        <v/>
      </c>
      <c r="N35" s="379"/>
      <c r="O35" s="380"/>
      <c r="P35" s="386"/>
      <c r="Q35" s="379"/>
      <c r="R35" s="380"/>
      <c r="S35" s="386"/>
      <c r="T35" s="379"/>
      <c r="U35" s="380"/>
      <c r="V35" s="386"/>
      <c r="W35" s="379"/>
      <c r="X35" s="380"/>
      <c r="Y35" s="386"/>
      <c r="Z35" s="379"/>
      <c r="AA35" s="380"/>
      <c r="AB35" s="380"/>
      <c r="AC35" s="380"/>
      <c r="AD35" s="380"/>
      <c r="AE35" s="380"/>
      <c r="AF35" s="380"/>
      <c r="AG35" s="380"/>
      <c r="AH35" s="380"/>
      <c r="AI35" s="380"/>
      <c r="AJ35" s="380"/>
      <c r="AK35" s="380"/>
      <c r="AL35" s="380"/>
      <c r="AM35" s="380"/>
      <c r="AN35" s="380"/>
      <c r="AO35" s="380"/>
      <c r="AP35" s="380"/>
      <c r="AQ35" s="380"/>
      <c r="AR35" s="380"/>
      <c r="AS35" s="381"/>
      <c r="AT35" s="48"/>
    </row>
    <row r="36" spans="2:48" s="40" customFormat="1" ht="9.9499999999999993" customHeight="1" x14ac:dyDescent="0.3">
      <c r="B36" s="63"/>
      <c r="C36" s="448">
        <f>IFERROR(TIME(HOUR(C32) + 1, 0, 0), "")</f>
        <v>0.41666666666666669</v>
      </c>
      <c r="D36" s="449"/>
      <c r="E36" s="411"/>
      <c r="F36" s="412"/>
      <c r="G36" s="415"/>
      <c r="H36" s="416"/>
      <c r="I36" s="401"/>
      <c r="J36" s="401"/>
      <c r="K36" s="401"/>
      <c r="L36" s="401"/>
      <c r="M36" s="66" t="str">
        <f t="shared" si="2"/>
        <v/>
      </c>
      <c r="N36" s="379"/>
      <c r="O36" s="380"/>
      <c r="P36" s="386"/>
      <c r="Q36" s="379"/>
      <c r="R36" s="380"/>
      <c r="S36" s="386"/>
      <c r="T36" s="379"/>
      <c r="U36" s="380"/>
      <c r="V36" s="386"/>
      <c r="W36" s="379"/>
      <c r="X36" s="380"/>
      <c r="Y36" s="386"/>
      <c r="Z36" s="379"/>
      <c r="AA36" s="380"/>
      <c r="AB36" s="380"/>
      <c r="AC36" s="380"/>
      <c r="AD36" s="380"/>
      <c r="AE36" s="380"/>
      <c r="AF36" s="380"/>
      <c r="AG36" s="380"/>
      <c r="AH36" s="380"/>
      <c r="AI36" s="380"/>
      <c r="AJ36" s="380"/>
      <c r="AK36" s="380"/>
      <c r="AL36" s="380"/>
      <c r="AM36" s="380"/>
      <c r="AN36" s="380"/>
      <c r="AO36" s="380"/>
      <c r="AP36" s="380"/>
      <c r="AQ36" s="380"/>
      <c r="AR36" s="380"/>
      <c r="AS36" s="381"/>
      <c r="AT36" s="48"/>
    </row>
    <row r="37" spans="2:48" s="40" customFormat="1" ht="9.9499999999999993" customHeight="1" x14ac:dyDescent="0.3">
      <c r="B37" s="63"/>
      <c r="C37" s="448"/>
      <c r="D37" s="449"/>
      <c r="E37" s="411"/>
      <c r="F37" s="412"/>
      <c r="G37" s="415"/>
      <c r="H37" s="416"/>
      <c r="I37" s="401"/>
      <c r="J37" s="401"/>
      <c r="K37" s="401"/>
      <c r="L37" s="401"/>
      <c r="M37" s="66" t="str">
        <f t="shared" si="2"/>
        <v/>
      </c>
      <c r="N37" s="379"/>
      <c r="O37" s="380"/>
      <c r="P37" s="386"/>
      <c r="Q37" s="379"/>
      <c r="R37" s="380"/>
      <c r="S37" s="386"/>
      <c r="T37" s="379"/>
      <c r="U37" s="380"/>
      <c r="V37" s="386"/>
      <c r="W37" s="379"/>
      <c r="X37" s="380"/>
      <c r="Y37" s="386"/>
      <c r="Z37" s="379"/>
      <c r="AA37" s="380"/>
      <c r="AB37" s="380"/>
      <c r="AC37" s="380"/>
      <c r="AD37" s="380"/>
      <c r="AE37" s="380"/>
      <c r="AF37" s="380"/>
      <c r="AG37" s="380"/>
      <c r="AH37" s="380"/>
      <c r="AI37" s="380"/>
      <c r="AJ37" s="380"/>
      <c r="AK37" s="380"/>
      <c r="AL37" s="380"/>
      <c r="AM37" s="380"/>
      <c r="AN37" s="380"/>
      <c r="AO37" s="380"/>
      <c r="AP37" s="380"/>
      <c r="AQ37" s="380"/>
      <c r="AR37" s="380"/>
      <c r="AS37" s="381"/>
      <c r="AT37" s="48"/>
    </row>
    <row r="38" spans="2:48" s="40" customFormat="1" ht="9.9499999999999993" customHeight="1" x14ac:dyDescent="0.3">
      <c r="B38" s="63"/>
      <c r="C38" s="448"/>
      <c r="D38" s="449"/>
      <c r="E38" s="399"/>
      <c r="F38" s="400"/>
      <c r="G38" s="417"/>
      <c r="H38" s="418"/>
      <c r="I38" s="401"/>
      <c r="J38" s="401"/>
      <c r="K38" s="401"/>
      <c r="L38" s="401"/>
      <c r="M38" s="66" t="str">
        <f t="shared" si="2"/>
        <v/>
      </c>
      <c r="N38" s="379"/>
      <c r="O38" s="380"/>
      <c r="P38" s="386"/>
      <c r="Q38" s="379"/>
      <c r="R38" s="380"/>
      <c r="S38" s="386"/>
      <c r="T38" s="379"/>
      <c r="U38" s="380"/>
      <c r="V38" s="386"/>
      <c r="W38" s="379"/>
      <c r="X38" s="380"/>
      <c r="Y38" s="386"/>
      <c r="Z38" s="379"/>
      <c r="AA38" s="380"/>
      <c r="AB38" s="380"/>
      <c r="AC38" s="380"/>
      <c r="AD38" s="380"/>
      <c r="AE38" s="380"/>
      <c r="AF38" s="380"/>
      <c r="AG38" s="380"/>
      <c r="AH38" s="380"/>
      <c r="AI38" s="380"/>
      <c r="AJ38" s="380"/>
      <c r="AK38" s="380"/>
      <c r="AL38" s="380"/>
      <c r="AM38" s="380"/>
      <c r="AN38" s="380"/>
      <c r="AO38" s="380"/>
      <c r="AP38" s="380"/>
      <c r="AQ38" s="380"/>
      <c r="AR38" s="380"/>
      <c r="AS38" s="381"/>
      <c r="AT38" s="68"/>
    </row>
    <row r="39" spans="2:48" s="40" customFormat="1" ht="9.9499999999999993" customHeight="1" x14ac:dyDescent="0.3">
      <c r="B39" s="63"/>
      <c r="C39" s="448"/>
      <c r="D39" s="449"/>
      <c r="E39" s="393">
        <f ca="1">IFERROR(E30 + E32, "")</f>
        <v>31</v>
      </c>
      <c r="F39" s="394"/>
      <c r="G39" s="397">
        <f>G30+G32</f>
        <v>30</v>
      </c>
      <c r="H39" s="398"/>
      <c r="I39" s="401"/>
      <c r="J39" s="401"/>
      <c r="K39" s="401"/>
      <c r="L39" s="401"/>
      <c r="M39" s="66" t="str">
        <f t="shared" si="2"/>
        <v/>
      </c>
      <c r="N39" s="379"/>
      <c r="O39" s="380"/>
      <c r="P39" s="386"/>
      <c r="Q39" s="379"/>
      <c r="R39" s="380"/>
      <c r="S39" s="386"/>
      <c r="T39" s="379"/>
      <c r="U39" s="380"/>
      <c r="V39" s="386"/>
      <c r="W39" s="379"/>
      <c r="X39" s="380"/>
      <c r="Y39" s="386"/>
      <c r="Z39" s="379"/>
      <c r="AA39" s="380"/>
      <c r="AB39" s="380"/>
      <c r="AC39" s="380"/>
      <c r="AD39" s="380"/>
      <c r="AE39" s="380"/>
      <c r="AF39" s="380"/>
      <c r="AG39" s="380"/>
      <c r="AH39" s="380"/>
      <c r="AI39" s="380"/>
      <c r="AJ39" s="380"/>
      <c r="AK39" s="380"/>
      <c r="AL39" s="380"/>
      <c r="AM39" s="380"/>
      <c r="AN39" s="380"/>
      <c r="AO39" s="380"/>
      <c r="AP39" s="380"/>
      <c r="AQ39" s="380"/>
      <c r="AR39" s="380"/>
      <c r="AS39" s="381"/>
      <c r="AT39" s="68"/>
    </row>
    <row r="40" spans="2:48" s="40" customFormat="1" ht="9.9499999999999993" customHeight="1" x14ac:dyDescent="0.3">
      <c r="B40" s="63"/>
      <c r="C40" s="450"/>
      <c r="D40" s="451"/>
      <c r="E40" s="395"/>
      <c r="F40" s="396"/>
      <c r="G40" s="399"/>
      <c r="H40" s="400"/>
      <c r="I40" s="401"/>
      <c r="J40" s="401"/>
      <c r="K40" s="401"/>
      <c r="L40" s="401"/>
      <c r="M40" s="67" t="str">
        <f t="shared" si="2"/>
        <v/>
      </c>
      <c r="N40" s="382"/>
      <c r="O40" s="383"/>
      <c r="P40" s="384"/>
      <c r="Q40" s="382"/>
      <c r="R40" s="383"/>
      <c r="S40" s="384"/>
      <c r="T40" s="382"/>
      <c r="U40" s="383"/>
      <c r="V40" s="384"/>
      <c r="W40" s="382"/>
      <c r="X40" s="383"/>
      <c r="Y40" s="384"/>
      <c r="Z40" s="382"/>
      <c r="AA40" s="383"/>
      <c r="AB40" s="383"/>
      <c r="AC40" s="383"/>
      <c r="AD40" s="383"/>
      <c r="AE40" s="383"/>
      <c r="AF40" s="383"/>
      <c r="AG40" s="383"/>
      <c r="AH40" s="383"/>
      <c r="AI40" s="383"/>
      <c r="AJ40" s="383"/>
      <c r="AK40" s="383"/>
      <c r="AL40" s="383"/>
      <c r="AM40" s="383"/>
      <c r="AN40" s="383"/>
      <c r="AO40" s="383"/>
      <c r="AP40" s="383"/>
      <c r="AQ40" s="383"/>
      <c r="AR40" s="383"/>
      <c r="AS40" s="385"/>
      <c r="AT40" s="68"/>
      <c r="AV40" s="47"/>
    </row>
    <row r="41" spans="2:48" s="40" customFormat="1" ht="9.9499999999999993" customHeight="1" x14ac:dyDescent="0.3">
      <c r="B41" s="63"/>
      <c r="C41" s="446">
        <f>C36</f>
        <v>0.41666666666666669</v>
      </c>
      <c r="D41" s="447"/>
      <c r="E41" s="397">
        <f ca="1">IFERROR(
  _xlfn.LET(
    _xlpm.time_diff,
    MOD(C45 - C41, 1),
    _xlpm.minutes,
    MINUTE(_xlpm.time_diff),
    _xlpm.pausas,
    SUMIF($T41:$V49, "Pausa", $K41:$L49),
    _xlpm.efficiency,
    (1 - _xlpm.pausas / IF(_xlpm.minutes = 0, 60, _xlpm.minutes)),
    _xlpm.result,
    IF(
       _xlpm.minutes = 0,
       ROUND(60 * 60 / cycle_time_welding * _xlpm.efficiency, 0),
       ROUND(_xlpm.minutes * 60 / cycle_time_welding * _xlpm.efficiency, 0)
      ),
    _xlpm.result
  ),
0)</f>
        <v>11</v>
      </c>
      <c r="F41" s="398"/>
      <c r="G41" s="413">
        <v>10</v>
      </c>
      <c r="H41" s="414"/>
      <c r="I41" s="419"/>
      <c r="J41" s="419"/>
      <c r="K41" s="419"/>
      <c r="L41" s="419"/>
      <c r="M41" s="66" t="str">
        <f t="shared" si="2"/>
        <v/>
      </c>
      <c r="N41" s="387"/>
      <c r="O41" s="388"/>
      <c r="P41" s="389"/>
      <c r="Q41" s="387"/>
      <c r="R41" s="388"/>
      <c r="S41" s="389"/>
      <c r="T41" s="387"/>
      <c r="U41" s="388"/>
      <c r="V41" s="389"/>
      <c r="W41" s="387"/>
      <c r="X41" s="388"/>
      <c r="Y41" s="389"/>
      <c r="Z41" s="387"/>
      <c r="AA41" s="388"/>
      <c r="AB41" s="388"/>
      <c r="AC41" s="388"/>
      <c r="AD41" s="388"/>
      <c r="AE41" s="388"/>
      <c r="AF41" s="388"/>
      <c r="AG41" s="388"/>
      <c r="AH41" s="388"/>
      <c r="AI41" s="388"/>
      <c r="AJ41" s="388"/>
      <c r="AK41" s="388"/>
      <c r="AL41" s="388"/>
      <c r="AM41" s="388"/>
      <c r="AN41" s="388"/>
      <c r="AO41" s="388"/>
      <c r="AP41" s="388"/>
      <c r="AQ41" s="388"/>
      <c r="AR41" s="388"/>
      <c r="AS41" s="452"/>
      <c r="AT41" s="68"/>
    </row>
    <row r="42" spans="2:48" s="40" customFormat="1" ht="9.9499999999999993" customHeight="1" x14ac:dyDescent="0.3">
      <c r="B42" s="63"/>
      <c r="C42" s="448"/>
      <c r="D42" s="449"/>
      <c r="E42" s="411"/>
      <c r="F42" s="412"/>
      <c r="G42" s="415"/>
      <c r="H42" s="416"/>
      <c r="I42" s="401"/>
      <c r="J42" s="401"/>
      <c r="K42" s="401"/>
      <c r="L42" s="401"/>
      <c r="M42" s="66" t="str">
        <f t="shared" si="2"/>
        <v/>
      </c>
      <c r="N42" s="379"/>
      <c r="O42" s="380"/>
      <c r="P42" s="386"/>
      <c r="Q42" s="379"/>
      <c r="R42" s="380"/>
      <c r="S42" s="386"/>
      <c r="T42" s="379"/>
      <c r="U42" s="380"/>
      <c r="V42" s="386"/>
      <c r="W42" s="379"/>
      <c r="X42" s="380"/>
      <c r="Y42" s="386"/>
      <c r="Z42" s="379"/>
      <c r="AA42" s="380"/>
      <c r="AB42" s="380"/>
      <c r="AC42" s="380"/>
      <c r="AD42" s="380"/>
      <c r="AE42" s="380"/>
      <c r="AF42" s="380"/>
      <c r="AG42" s="380"/>
      <c r="AH42" s="380"/>
      <c r="AI42" s="380"/>
      <c r="AJ42" s="380"/>
      <c r="AK42" s="380"/>
      <c r="AL42" s="380"/>
      <c r="AM42" s="380"/>
      <c r="AN42" s="380"/>
      <c r="AO42" s="380"/>
      <c r="AP42" s="380"/>
      <c r="AQ42" s="380"/>
      <c r="AR42" s="380"/>
      <c r="AS42" s="381"/>
      <c r="AT42" s="68"/>
    </row>
    <row r="43" spans="2:48" s="40" customFormat="1" ht="9.9499999999999993" customHeight="1" x14ac:dyDescent="0.3">
      <c r="B43" s="63"/>
      <c r="C43" s="448"/>
      <c r="D43" s="449"/>
      <c r="E43" s="411"/>
      <c r="F43" s="412"/>
      <c r="G43" s="415"/>
      <c r="H43" s="416"/>
      <c r="I43" s="401"/>
      <c r="J43" s="401"/>
      <c r="K43" s="401"/>
      <c r="L43" s="401"/>
      <c r="M43" s="66" t="str">
        <f t="shared" si="2"/>
        <v/>
      </c>
      <c r="N43" s="379"/>
      <c r="O43" s="380"/>
      <c r="P43" s="386"/>
      <c r="Q43" s="379"/>
      <c r="R43" s="380"/>
      <c r="S43" s="386"/>
      <c r="T43" s="379"/>
      <c r="U43" s="380"/>
      <c r="V43" s="386"/>
      <c r="W43" s="379"/>
      <c r="X43" s="380"/>
      <c r="Y43" s="386"/>
      <c r="Z43" s="379"/>
      <c r="AA43" s="380"/>
      <c r="AB43" s="380"/>
      <c r="AC43" s="380"/>
      <c r="AD43" s="380"/>
      <c r="AE43" s="380"/>
      <c r="AF43" s="380"/>
      <c r="AG43" s="380"/>
      <c r="AH43" s="380"/>
      <c r="AI43" s="380"/>
      <c r="AJ43" s="380"/>
      <c r="AK43" s="380"/>
      <c r="AL43" s="380"/>
      <c r="AM43" s="380"/>
      <c r="AN43" s="380"/>
      <c r="AO43" s="380"/>
      <c r="AP43" s="380"/>
      <c r="AQ43" s="380"/>
      <c r="AR43" s="380"/>
      <c r="AS43" s="381"/>
      <c r="AT43" s="68"/>
    </row>
    <row r="44" spans="2:48" s="40" customFormat="1" ht="9.9499999999999993" customHeight="1" x14ac:dyDescent="0.3">
      <c r="B44" s="63"/>
      <c r="C44" s="448"/>
      <c r="D44" s="449"/>
      <c r="E44" s="411"/>
      <c r="F44" s="412"/>
      <c r="G44" s="415"/>
      <c r="H44" s="416"/>
      <c r="I44" s="401"/>
      <c r="J44" s="401"/>
      <c r="K44" s="401"/>
      <c r="L44" s="401"/>
      <c r="M44" s="66" t="str">
        <f t="shared" si="2"/>
        <v/>
      </c>
      <c r="N44" s="379"/>
      <c r="O44" s="380"/>
      <c r="P44" s="386"/>
      <c r="Q44" s="379"/>
      <c r="R44" s="380"/>
      <c r="S44" s="386"/>
      <c r="T44" s="379"/>
      <c r="U44" s="380"/>
      <c r="V44" s="386"/>
      <c r="W44" s="379"/>
      <c r="X44" s="380"/>
      <c r="Y44" s="386"/>
      <c r="Z44" s="379"/>
      <c r="AA44" s="380"/>
      <c r="AB44" s="380"/>
      <c r="AC44" s="380"/>
      <c r="AD44" s="380"/>
      <c r="AE44" s="380"/>
      <c r="AF44" s="380"/>
      <c r="AG44" s="380"/>
      <c r="AH44" s="380"/>
      <c r="AI44" s="380"/>
      <c r="AJ44" s="380"/>
      <c r="AK44" s="380"/>
      <c r="AL44" s="380"/>
      <c r="AM44" s="380"/>
      <c r="AN44" s="380"/>
      <c r="AO44" s="380"/>
      <c r="AP44" s="380"/>
      <c r="AQ44" s="380"/>
      <c r="AR44" s="380"/>
      <c r="AS44" s="381"/>
      <c r="AT44" s="68"/>
    </row>
    <row r="45" spans="2:48" s="40" customFormat="1" ht="9.9499999999999993" customHeight="1" x14ac:dyDescent="0.3">
      <c r="B45" s="63"/>
      <c r="C45" s="448">
        <f>IFERROR(TIME(HOUR(C41) + 1, 0, 0), "")</f>
        <v>0.45833333333333331</v>
      </c>
      <c r="D45" s="449"/>
      <c r="E45" s="411"/>
      <c r="F45" s="412"/>
      <c r="G45" s="415"/>
      <c r="H45" s="416"/>
      <c r="I45" s="401"/>
      <c r="J45" s="401"/>
      <c r="K45" s="401"/>
      <c r="L45" s="401"/>
      <c r="M45" s="66" t="str">
        <f t="shared" si="2"/>
        <v/>
      </c>
      <c r="N45" s="379"/>
      <c r="O45" s="380"/>
      <c r="P45" s="386"/>
      <c r="Q45" s="379"/>
      <c r="R45" s="380"/>
      <c r="S45" s="386"/>
      <c r="T45" s="379"/>
      <c r="U45" s="380"/>
      <c r="V45" s="386"/>
      <c r="W45" s="379"/>
      <c r="X45" s="380"/>
      <c r="Y45" s="386"/>
      <c r="Z45" s="379"/>
      <c r="AA45" s="380"/>
      <c r="AB45" s="380"/>
      <c r="AC45" s="380"/>
      <c r="AD45" s="380"/>
      <c r="AE45" s="380"/>
      <c r="AF45" s="380"/>
      <c r="AG45" s="380"/>
      <c r="AH45" s="380"/>
      <c r="AI45" s="380"/>
      <c r="AJ45" s="380"/>
      <c r="AK45" s="380"/>
      <c r="AL45" s="380"/>
      <c r="AM45" s="380"/>
      <c r="AN45" s="380"/>
      <c r="AO45" s="380"/>
      <c r="AP45" s="380"/>
      <c r="AQ45" s="380"/>
      <c r="AR45" s="380"/>
      <c r="AS45" s="381"/>
      <c r="AT45" s="68"/>
    </row>
    <row r="46" spans="2:48" s="40" customFormat="1" ht="9.9499999999999993" customHeight="1" x14ac:dyDescent="0.3">
      <c r="B46" s="63"/>
      <c r="C46" s="448"/>
      <c r="D46" s="449"/>
      <c r="E46" s="411"/>
      <c r="F46" s="412"/>
      <c r="G46" s="415"/>
      <c r="H46" s="416"/>
      <c r="I46" s="401"/>
      <c r="J46" s="401"/>
      <c r="K46" s="401"/>
      <c r="L46" s="401"/>
      <c r="M46" s="66" t="str">
        <f t="shared" si="2"/>
        <v/>
      </c>
      <c r="N46" s="379"/>
      <c r="O46" s="380"/>
      <c r="P46" s="386"/>
      <c r="Q46" s="379"/>
      <c r="R46" s="380"/>
      <c r="S46" s="386"/>
      <c r="T46" s="379"/>
      <c r="U46" s="380"/>
      <c r="V46" s="386"/>
      <c r="W46" s="379"/>
      <c r="X46" s="380"/>
      <c r="Y46" s="386"/>
      <c r="Z46" s="379"/>
      <c r="AA46" s="380"/>
      <c r="AB46" s="380"/>
      <c r="AC46" s="380"/>
      <c r="AD46" s="380"/>
      <c r="AE46" s="380"/>
      <c r="AF46" s="380"/>
      <c r="AG46" s="380"/>
      <c r="AH46" s="380"/>
      <c r="AI46" s="380"/>
      <c r="AJ46" s="380"/>
      <c r="AK46" s="380"/>
      <c r="AL46" s="380"/>
      <c r="AM46" s="380"/>
      <c r="AN46" s="380"/>
      <c r="AO46" s="380"/>
      <c r="AP46" s="380"/>
      <c r="AQ46" s="380"/>
      <c r="AR46" s="380"/>
      <c r="AS46" s="381"/>
      <c r="AT46" s="68"/>
    </row>
    <row r="47" spans="2:48" s="40" customFormat="1" ht="9.9499999999999993" customHeight="1" x14ac:dyDescent="0.3">
      <c r="B47" s="63"/>
      <c r="C47" s="448"/>
      <c r="D47" s="449"/>
      <c r="E47" s="399"/>
      <c r="F47" s="400"/>
      <c r="G47" s="417"/>
      <c r="H47" s="418"/>
      <c r="I47" s="401"/>
      <c r="J47" s="401"/>
      <c r="K47" s="401"/>
      <c r="L47" s="401"/>
      <c r="M47" s="66" t="str">
        <f t="shared" si="2"/>
        <v/>
      </c>
      <c r="N47" s="379"/>
      <c r="O47" s="380"/>
      <c r="P47" s="386"/>
      <c r="Q47" s="379"/>
      <c r="R47" s="380"/>
      <c r="S47" s="386"/>
      <c r="T47" s="379"/>
      <c r="U47" s="380"/>
      <c r="V47" s="386"/>
      <c r="W47" s="379"/>
      <c r="X47" s="380"/>
      <c r="Y47" s="386"/>
      <c r="Z47" s="379"/>
      <c r="AA47" s="380"/>
      <c r="AB47" s="380"/>
      <c r="AC47" s="380"/>
      <c r="AD47" s="380"/>
      <c r="AE47" s="380"/>
      <c r="AF47" s="380"/>
      <c r="AG47" s="380"/>
      <c r="AH47" s="380"/>
      <c r="AI47" s="380"/>
      <c r="AJ47" s="380"/>
      <c r="AK47" s="380"/>
      <c r="AL47" s="380"/>
      <c r="AM47" s="380"/>
      <c r="AN47" s="380"/>
      <c r="AO47" s="380"/>
      <c r="AP47" s="380"/>
      <c r="AQ47" s="380"/>
      <c r="AR47" s="380"/>
      <c r="AS47" s="381"/>
      <c r="AT47" s="68"/>
    </row>
    <row r="48" spans="2:48" s="40" customFormat="1" ht="9.9499999999999993" customHeight="1" x14ac:dyDescent="0.3">
      <c r="B48" s="63"/>
      <c r="C48" s="448"/>
      <c r="D48" s="449"/>
      <c r="E48" s="393">
        <f ca="1">IFERROR(E39 + E41, "")</f>
        <v>42</v>
      </c>
      <c r="F48" s="394"/>
      <c r="G48" s="397">
        <f>G39+G41</f>
        <v>40</v>
      </c>
      <c r="H48" s="398"/>
      <c r="I48" s="401"/>
      <c r="J48" s="401"/>
      <c r="K48" s="401"/>
      <c r="L48" s="401"/>
      <c r="M48" s="66" t="str">
        <f t="shared" si="2"/>
        <v/>
      </c>
      <c r="N48" s="379"/>
      <c r="O48" s="380"/>
      <c r="P48" s="386"/>
      <c r="Q48" s="379"/>
      <c r="R48" s="380"/>
      <c r="S48" s="386"/>
      <c r="T48" s="379"/>
      <c r="U48" s="380"/>
      <c r="V48" s="386"/>
      <c r="W48" s="379"/>
      <c r="X48" s="380"/>
      <c r="Y48" s="386"/>
      <c r="Z48" s="379"/>
      <c r="AA48" s="380"/>
      <c r="AB48" s="380"/>
      <c r="AC48" s="380"/>
      <c r="AD48" s="380"/>
      <c r="AE48" s="380"/>
      <c r="AF48" s="380"/>
      <c r="AG48" s="380"/>
      <c r="AH48" s="380"/>
      <c r="AI48" s="380"/>
      <c r="AJ48" s="380"/>
      <c r="AK48" s="380"/>
      <c r="AL48" s="380"/>
      <c r="AM48" s="380"/>
      <c r="AN48" s="380"/>
      <c r="AO48" s="380"/>
      <c r="AP48" s="380"/>
      <c r="AQ48" s="380"/>
      <c r="AR48" s="380"/>
      <c r="AS48" s="381"/>
      <c r="AT48" s="68"/>
    </row>
    <row r="49" spans="2:46" s="40" customFormat="1" ht="9.9499999999999993" customHeight="1" x14ac:dyDescent="0.3">
      <c r="B49" s="63"/>
      <c r="C49" s="450"/>
      <c r="D49" s="451"/>
      <c r="E49" s="395"/>
      <c r="F49" s="396"/>
      <c r="G49" s="399"/>
      <c r="H49" s="400"/>
      <c r="I49" s="401"/>
      <c r="J49" s="401"/>
      <c r="K49" s="401"/>
      <c r="L49" s="401"/>
      <c r="M49" s="67" t="str">
        <f t="shared" si="2"/>
        <v/>
      </c>
      <c r="N49" s="382"/>
      <c r="O49" s="383"/>
      <c r="P49" s="384"/>
      <c r="Q49" s="382"/>
      <c r="R49" s="383"/>
      <c r="S49" s="384"/>
      <c r="T49" s="382"/>
      <c r="U49" s="383"/>
      <c r="V49" s="384"/>
      <c r="W49" s="382"/>
      <c r="X49" s="383"/>
      <c r="Y49" s="384"/>
      <c r="Z49" s="382"/>
      <c r="AA49" s="383"/>
      <c r="AB49" s="383"/>
      <c r="AC49" s="383"/>
      <c r="AD49" s="383"/>
      <c r="AE49" s="383"/>
      <c r="AF49" s="383"/>
      <c r="AG49" s="383"/>
      <c r="AH49" s="383"/>
      <c r="AI49" s="383"/>
      <c r="AJ49" s="383"/>
      <c r="AK49" s="383"/>
      <c r="AL49" s="383"/>
      <c r="AM49" s="383"/>
      <c r="AN49" s="383"/>
      <c r="AO49" s="383"/>
      <c r="AP49" s="383"/>
      <c r="AQ49" s="383"/>
      <c r="AR49" s="383"/>
      <c r="AS49" s="385"/>
      <c r="AT49" s="68"/>
    </row>
    <row r="50" spans="2:46" s="40" customFormat="1" ht="9.9499999999999993" customHeight="1" x14ac:dyDescent="0.3">
      <c r="B50" s="63"/>
      <c r="C50" s="446">
        <f>C45</f>
        <v>0.45833333333333331</v>
      </c>
      <c r="D50" s="447"/>
      <c r="E50" s="397">
        <f ca="1">IFERROR(
  _xlfn.LET(
    _xlpm.time_diff,
    MOD(C54 - C50, 1),
    _xlpm.minutes,
    MINUTE(_xlpm.time_diff),
    _xlpm.pausas,
    SUMIF($T50:$V58, "Pausa", $K50:$L58),
    _xlpm.efficiency,
    (1 - _xlpm.pausas / IF(_xlpm.minutes = 0, 60, _xlpm.minutes)),
    _xlpm.result,
    IF(
       _xlpm.minutes = 0,
       ROUND(60 * 60 / cycle_time_welding * _xlpm.efficiency, 0),
       ROUND(_xlpm.minutes * 60 / cycle_time_welding * _xlpm.efficiency, 0)
      ),
    _xlpm.result
  ),
0)</f>
        <v>11</v>
      </c>
      <c r="F50" s="398"/>
      <c r="G50" s="413">
        <v>10</v>
      </c>
      <c r="H50" s="414"/>
      <c r="I50" s="419"/>
      <c r="J50" s="419"/>
      <c r="K50" s="419"/>
      <c r="L50" s="419"/>
      <c r="M50" s="66" t="str">
        <f t="shared" si="2"/>
        <v/>
      </c>
      <c r="N50" s="387"/>
      <c r="O50" s="388"/>
      <c r="P50" s="389"/>
      <c r="Q50" s="387"/>
      <c r="R50" s="388"/>
      <c r="S50" s="389"/>
      <c r="T50" s="379"/>
      <c r="U50" s="380"/>
      <c r="V50" s="386"/>
      <c r="W50" s="387"/>
      <c r="X50" s="388"/>
      <c r="Y50" s="389"/>
      <c r="Z50" s="387"/>
      <c r="AA50" s="388"/>
      <c r="AB50" s="388"/>
      <c r="AC50" s="388"/>
      <c r="AD50" s="388"/>
      <c r="AE50" s="388"/>
      <c r="AF50" s="388"/>
      <c r="AG50" s="388"/>
      <c r="AH50" s="388"/>
      <c r="AI50" s="388"/>
      <c r="AJ50" s="388"/>
      <c r="AK50" s="388"/>
      <c r="AL50" s="388"/>
      <c r="AM50" s="388"/>
      <c r="AN50" s="388"/>
      <c r="AO50" s="388"/>
      <c r="AP50" s="388"/>
      <c r="AQ50" s="388"/>
      <c r="AR50" s="388"/>
      <c r="AS50" s="452"/>
      <c r="AT50" s="68"/>
    </row>
    <row r="51" spans="2:46" s="40" customFormat="1" ht="9.9499999999999993" customHeight="1" x14ac:dyDescent="0.3">
      <c r="B51" s="63"/>
      <c r="C51" s="448"/>
      <c r="D51" s="449"/>
      <c r="E51" s="411"/>
      <c r="F51" s="412"/>
      <c r="G51" s="415"/>
      <c r="H51" s="416"/>
      <c r="I51" s="401"/>
      <c r="J51" s="401"/>
      <c r="K51" s="401"/>
      <c r="L51" s="401"/>
      <c r="M51" s="66" t="str">
        <f t="shared" si="2"/>
        <v/>
      </c>
      <c r="N51" s="379"/>
      <c r="O51" s="380"/>
      <c r="P51" s="386"/>
      <c r="Q51" s="379"/>
      <c r="R51" s="380"/>
      <c r="S51" s="386"/>
      <c r="T51" s="379"/>
      <c r="U51" s="380"/>
      <c r="V51" s="386"/>
      <c r="W51" s="379"/>
      <c r="X51" s="380"/>
      <c r="Y51" s="386"/>
      <c r="Z51" s="379"/>
      <c r="AA51" s="380"/>
      <c r="AB51" s="380"/>
      <c r="AC51" s="380"/>
      <c r="AD51" s="380"/>
      <c r="AE51" s="380"/>
      <c r="AF51" s="380"/>
      <c r="AG51" s="380"/>
      <c r="AH51" s="380"/>
      <c r="AI51" s="380"/>
      <c r="AJ51" s="380"/>
      <c r="AK51" s="380"/>
      <c r="AL51" s="380"/>
      <c r="AM51" s="380"/>
      <c r="AN51" s="380"/>
      <c r="AO51" s="380"/>
      <c r="AP51" s="380"/>
      <c r="AQ51" s="380"/>
      <c r="AR51" s="380"/>
      <c r="AS51" s="381"/>
      <c r="AT51" s="68"/>
    </row>
    <row r="52" spans="2:46" s="40" customFormat="1" ht="9.9499999999999993" customHeight="1" x14ac:dyDescent="0.3">
      <c r="B52" s="63"/>
      <c r="C52" s="448"/>
      <c r="D52" s="449"/>
      <c r="E52" s="411"/>
      <c r="F52" s="412"/>
      <c r="G52" s="415"/>
      <c r="H52" s="416"/>
      <c r="I52" s="401"/>
      <c r="J52" s="401"/>
      <c r="K52" s="401"/>
      <c r="L52" s="401"/>
      <c r="M52" s="66" t="str">
        <f t="shared" si="2"/>
        <v/>
      </c>
      <c r="N52" s="379"/>
      <c r="O52" s="380"/>
      <c r="P52" s="386"/>
      <c r="Q52" s="379"/>
      <c r="R52" s="380"/>
      <c r="S52" s="386"/>
      <c r="T52" s="379"/>
      <c r="U52" s="380"/>
      <c r="V52" s="386"/>
      <c r="W52" s="379"/>
      <c r="X52" s="380"/>
      <c r="Y52" s="386"/>
      <c r="Z52" s="379"/>
      <c r="AA52" s="380"/>
      <c r="AB52" s="380"/>
      <c r="AC52" s="380"/>
      <c r="AD52" s="380"/>
      <c r="AE52" s="380"/>
      <c r="AF52" s="380"/>
      <c r="AG52" s="380"/>
      <c r="AH52" s="380"/>
      <c r="AI52" s="380"/>
      <c r="AJ52" s="380"/>
      <c r="AK52" s="380"/>
      <c r="AL52" s="380"/>
      <c r="AM52" s="380"/>
      <c r="AN52" s="380"/>
      <c r="AO52" s="380"/>
      <c r="AP52" s="380"/>
      <c r="AQ52" s="380"/>
      <c r="AR52" s="380"/>
      <c r="AS52" s="381"/>
      <c r="AT52" s="68"/>
    </row>
    <row r="53" spans="2:46" s="40" customFormat="1" ht="9.9499999999999993" customHeight="1" x14ac:dyDescent="0.3">
      <c r="B53" s="63"/>
      <c r="C53" s="448"/>
      <c r="D53" s="449"/>
      <c r="E53" s="411"/>
      <c r="F53" s="412"/>
      <c r="G53" s="415"/>
      <c r="H53" s="416"/>
      <c r="I53" s="401"/>
      <c r="J53" s="401"/>
      <c r="K53" s="401"/>
      <c r="L53" s="401"/>
      <c r="M53" s="66" t="str">
        <f t="shared" si="2"/>
        <v/>
      </c>
      <c r="N53" s="379"/>
      <c r="O53" s="380"/>
      <c r="P53" s="386"/>
      <c r="Q53" s="379"/>
      <c r="R53" s="380"/>
      <c r="S53" s="386"/>
      <c r="T53" s="379"/>
      <c r="U53" s="380"/>
      <c r="V53" s="386"/>
      <c r="W53" s="379"/>
      <c r="X53" s="380"/>
      <c r="Y53" s="386"/>
      <c r="Z53" s="379"/>
      <c r="AA53" s="380"/>
      <c r="AB53" s="380"/>
      <c r="AC53" s="380"/>
      <c r="AD53" s="380"/>
      <c r="AE53" s="380"/>
      <c r="AF53" s="380"/>
      <c r="AG53" s="380"/>
      <c r="AH53" s="380"/>
      <c r="AI53" s="380"/>
      <c r="AJ53" s="380"/>
      <c r="AK53" s="380"/>
      <c r="AL53" s="380"/>
      <c r="AM53" s="380"/>
      <c r="AN53" s="380"/>
      <c r="AO53" s="380"/>
      <c r="AP53" s="380"/>
      <c r="AQ53" s="380"/>
      <c r="AR53" s="380"/>
      <c r="AS53" s="381"/>
      <c r="AT53" s="68"/>
    </row>
    <row r="54" spans="2:46" s="40" customFormat="1" ht="9.9499999999999993" customHeight="1" x14ac:dyDescent="0.3">
      <c r="B54" s="63"/>
      <c r="C54" s="448">
        <f>IFERROR(TIME(HOUR(C50) + 1, 0, 0), "")</f>
        <v>0.5</v>
      </c>
      <c r="D54" s="449"/>
      <c r="E54" s="411"/>
      <c r="F54" s="412"/>
      <c r="G54" s="415"/>
      <c r="H54" s="416"/>
      <c r="I54" s="401"/>
      <c r="J54" s="401"/>
      <c r="K54" s="401"/>
      <c r="L54" s="401"/>
      <c r="M54" s="66" t="str">
        <f t="shared" si="2"/>
        <v/>
      </c>
      <c r="N54" s="379"/>
      <c r="O54" s="380"/>
      <c r="P54" s="386"/>
      <c r="Q54" s="379"/>
      <c r="R54" s="380"/>
      <c r="S54" s="386"/>
      <c r="T54" s="379"/>
      <c r="U54" s="380"/>
      <c r="V54" s="386"/>
      <c r="W54" s="379"/>
      <c r="X54" s="380"/>
      <c r="Y54" s="386"/>
      <c r="Z54" s="379"/>
      <c r="AA54" s="380"/>
      <c r="AB54" s="380"/>
      <c r="AC54" s="380"/>
      <c r="AD54" s="380"/>
      <c r="AE54" s="380"/>
      <c r="AF54" s="380"/>
      <c r="AG54" s="380"/>
      <c r="AH54" s="380"/>
      <c r="AI54" s="380"/>
      <c r="AJ54" s="380"/>
      <c r="AK54" s="380"/>
      <c r="AL54" s="380"/>
      <c r="AM54" s="380"/>
      <c r="AN54" s="380"/>
      <c r="AO54" s="380"/>
      <c r="AP54" s="380"/>
      <c r="AQ54" s="380"/>
      <c r="AR54" s="380"/>
      <c r="AS54" s="381"/>
      <c r="AT54" s="68"/>
    </row>
    <row r="55" spans="2:46" s="40" customFormat="1" ht="9.9499999999999993" customHeight="1" x14ac:dyDescent="0.3">
      <c r="B55" s="63"/>
      <c r="C55" s="448"/>
      <c r="D55" s="449"/>
      <c r="E55" s="411"/>
      <c r="F55" s="412"/>
      <c r="G55" s="415"/>
      <c r="H55" s="416"/>
      <c r="I55" s="401"/>
      <c r="J55" s="401"/>
      <c r="K55" s="401"/>
      <c r="L55" s="401"/>
      <c r="M55" s="66" t="str">
        <f t="shared" si="2"/>
        <v/>
      </c>
      <c r="N55" s="379"/>
      <c r="O55" s="380"/>
      <c r="P55" s="386"/>
      <c r="Q55" s="379"/>
      <c r="R55" s="380"/>
      <c r="S55" s="386"/>
      <c r="T55" s="379"/>
      <c r="U55" s="380"/>
      <c r="V55" s="386"/>
      <c r="W55" s="379"/>
      <c r="X55" s="380"/>
      <c r="Y55" s="386"/>
      <c r="Z55" s="379"/>
      <c r="AA55" s="380"/>
      <c r="AB55" s="380"/>
      <c r="AC55" s="380"/>
      <c r="AD55" s="380"/>
      <c r="AE55" s="380"/>
      <c r="AF55" s="380"/>
      <c r="AG55" s="380"/>
      <c r="AH55" s="380"/>
      <c r="AI55" s="380"/>
      <c r="AJ55" s="380"/>
      <c r="AK55" s="380"/>
      <c r="AL55" s="380"/>
      <c r="AM55" s="380"/>
      <c r="AN55" s="380"/>
      <c r="AO55" s="380"/>
      <c r="AP55" s="380"/>
      <c r="AQ55" s="380"/>
      <c r="AR55" s="380"/>
      <c r="AS55" s="381"/>
      <c r="AT55" s="68"/>
    </row>
    <row r="56" spans="2:46" s="40" customFormat="1" ht="9.9499999999999993" customHeight="1" x14ac:dyDescent="0.3">
      <c r="B56" s="63"/>
      <c r="C56" s="448"/>
      <c r="D56" s="449"/>
      <c r="E56" s="399"/>
      <c r="F56" s="400"/>
      <c r="G56" s="417"/>
      <c r="H56" s="418"/>
      <c r="I56" s="401"/>
      <c r="J56" s="401"/>
      <c r="K56" s="401"/>
      <c r="L56" s="401"/>
      <c r="M56" s="66" t="str">
        <f t="shared" si="2"/>
        <v/>
      </c>
      <c r="N56" s="379"/>
      <c r="O56" s="380"/>
      <c r="P56" s="386"/>
      <c r="Q56" s="379"/>
      <c r="R56" s="380"/>
      <c r="S56" s="386"/>
      <c r="T56" s="379"/>
      <c r="U56" s="380"/>
      <c r="V56" s="386"/>
      <c r="W56" s="379"/>
      <c r="X56" s="380"/>
      <c r="Y56" s="386"/>
      <c r="Z56" s="379"/>
      <c r="AA56" s="380"/>
      <c r="AB56" s="380"/>
      <c r="AC56" s="380"/>
      <c r="AD56" s="380"/>
      <c r="AE56" s="380"/>
      <c r="AF56" s="380"/>
      <c r="AG56" s="380"/>
      <c r="AH56" s="380"/>
      <c r="AI56" s="380"/>
      <c r="AJ56" s="380"/>
      <c r="AK56" s="380"/>
      <c r="AL56" s="380"/>
      <c r="AM56" s="380"/>
      <c r="AN56" s="380"/>
      <c r="AO56" s="380"/>
      <c r="AP56" s="380"/>
      <c r="AQ56" s="380"/>
      <c r="AR56" s="380"/>
      <c r="AS56" s="381"/>
      <c r="AT56" s="68"/>
    </row>
    <row r="57" spans="2:46" s="40" customFormat="1" ht="9.9499999999999993" customHeight="1" x14ac:dyDescent="0.3">
      <c r="B57" s="60"/>
      <c r="C57" s="448"/>
      <c r="D57" s="449"/>
      <c r="E57" s="393">
        <f ca="1">IFERROR(E48 + E50, "")</f>
        <v>53</v>
      </c>
      <c r="F57" s="394"/>
      <c r="G57" s="397">
        <f>G48+G50</f>
        <v>50</v>
      </c>
      <c r="H57" s="398"/>
      <c r="I57" s="401"/>
      <c r="J57" s="401"/>
      <c r="K57" s="401"/>
      <c r="L57" s="401"/>
      <c r="M57" s="66" t="str">
        <f t="shared" si="2"/>
        <v/>
      </c>
      <c r="N57" s="379"/>
      <c r="O57" s="380"/>
      <c r="P57" s="386"/>
      <c r="Q57" s="379"/>
      <c r="R57" s="380"/>
      <c r="S57" s="386"/>
      <c r="T57" s="379"/>
      <c r="U57" s="380"/>
      <c r="V57" s="386"/>
      <c r="W57" s="379"/>
      <c r="X57" s="380"/>
      <c r="Y57" s="386"/>
      <c r="Z57" s="379"/>
      <c r="AA57" s="380"/>
      <c r="AB57" s="380"/>
      <c r="AC57" s="380"/>
      <c r="AD57" s="380"/>
      <c r="AE57" s="380"/>
      <c r="AF57" s="380"/>
      <c r="AG57" s="380"/>
      <c r="AH57" s="380"/>
      <c r="AI57" s="380"/>
      <c r="AJ57" s="380"/>
      <c r="AK57" s="380"/>
      <c r="AL57" s="380"/>
      <c r="AM57" s="380"/>
      <c r="AN57" s="380"/>
      <c r="AO57" s="380"/>
      <c r="AP57" s="380"/>
      <c r="AQ57" s="380"/>
      <c r="AR57" s="380"/>
      <c r="AS57" s="381"/>
      <c r="AT57" s="68"/>
    </row>
    <row r="58" spans="2:46" s="40" customFormat="1" ht="9.9499999999999993" customHeight="1" x14ac:dyDescent="0.3">
      <c r="B58" s="60"/>
      <c r="C58" s="450"/>
      <c r="D58" s="451"/>
      <c r="E58" s="395"/>
      <c r="F58" s="396"/>
      <c r="G58" s="399"/>
      <c r="H58" s="400"/>
      <c r="I58" s="401"/>
      <c r="J58" s="401"/>
      <c r="K58" s="401">
        <f>IF(Q5 = "X", 20, 0)</f>
        <v>0</v>
      </c>
      <c r="L58" s="401"/>
      <c r="M58" s="113" t="str">
        <f t="shared" si="2"/>
        <v/>
      </c>
      <c r="N58" s="382"/>
      <c r="O58" s="383"/>
      <c r="P58" s="384"/>
      <c r="Q58" s="382"/>
      <c r="R58" s="383"/>
      <c r="S58" s="384"/>
      <c r="T58" s="382" t="str">
        <f>IF($Q$5 = "X", "Break", "")</f>
        <v/>
      </c>
      <c r="U58" s="383"/>
      <c r="V58" s="384"/>
      <c r="W58" s="382"/>
      <c r="X58" s="383"/>
      <c r="Y58" s="384"/>
      <c r="Z58" s="382"/>
      <c r="AA58" s="383"/>
      <c r="AB58" s="383"/>
      <c r="AC58" s="383"/>
      <c r="AD58" s="383"/>
      <c r="AE58" s="383"/>
      <c r="AF58" s="383"/>
      <c r="AG58" s="383"/>
      <c r="AH58" s="383"/>
      <c r="AI58" s="383"/>
      <c r="AJ58" s="383"/>
      <c r="AK58" s="383"/>
      <c r="AL58" s="383"/>
      <c r="AM58" s="383"/>
      <c r="AN58" s="383"/>
      <c r="AO58" s="383"/>
      <c r="AP58" s="383"/>
      <c r="AQ58" s="383"/>
      <c r="AR58" s="383"/>
      <c r="AS58" s="385"/>
      <c r="AT58" s="68"/>
    </row>
    <row r="59" spans="2:46" s="40" customFormat="1" ht="9.9499999999999993" customHeight="1" x14ac:dyDescent="0.3">
      <c r="B59" s="63"/>
      <c r="C59" s="446">
        <f>C54</f>
        <v>0.5</v>
      </c>
      <c r="D59" s="447"/>
      <c r="E59" s="397">
        <f ca="1">IFERROR(
  _xlfn.LET(
    _xlpm.time_diff,
    MOD(C63 - C59, 1),
    _xlpm.minutes,
    MINUTE(_xlpm.time_diff),
    _xlpm.pausas,
    SUMIF($T59:$V67, "Pausa", $K59:$L67),
    _xlpm.efficiency,
    (1 - _xlpm.pausas / IF(_xlpm.minutes = 0, 60, _xlpm.minutes)),
    _xlpm.result,
    IF(
       _xlpm.minutes = 0,
       ROUND(60 * 60 / cycle_time_welding * _xlpm.efficiency, 0),
       ROUND(_xlpm.minutes * 60 / cycle_time_welding * _xlpm.efficiency, 0)
      ),
    _xlpm.result
  ),
0)</f>
        <v>11</v>
      </c>
      <c r="F59" s="398"/>
      <c r="G59" s="413">
        <v>10</v>
      </c>
      <c r="H59" s="414"/>
      <c r="I59" s="419"/>
      <c r="J59" s="419"/>
      <c r="K59" s="419">
        <f>IF(Q5 = "X", 10, IF(R5 = "X", 30, IF(S5 = "X", 30, 0)))</f>
        <v>30</v>
      </c>
      <c r="L59" s="419"/>
      <c r="M59" s="112">
        <f t="shared" si="2"/>
        <v>30</v>
      </c>
      <c r="N59" s="387"/>
      <c r="O59" s="388"/>
      <c r="P59" s="389"/>
      <c r="Q59" s="387"/>
      <c r="R59" s="388"/>
      <c r="S59" s="389"/>
      <c r="T59" s="387" t="str">
        <f>IF($Q$5 = "X", "Break", IF($R$5 = "X", "Break", IF($S$5 = "X", "Break", "")))</f>
        <v>Break</v>
      </c>
      <c r="U59" s="388"/>
      <c r="V59" s="389"/>
      <c r="W59" s="387"/>
      <c r="X59" s="388"/>
      <c r="Y59" s="389"/>
      <c r="Z59" s="387"/>
      <c r="AA59" s="388"/>
      <c r="AB59" s="388"/>
      <c r="AC59" s="388"/>
      <c r="AD59" s="388"/>
      <c r="AE59" s="388"/>
      <c r="AF59" s="388"/>
      <c r="AG59" s="388"/>
      <c r="AH59" s="388"/>
      <c r="AI59" s="388"/>
      <c r="AJ59" s="388"/>
      <c r="AK59" s="388"/>
      <c r="AL59" s="388"/>
      <c r="AM59" s="388"/>
      <c r="AN59" s="388"/>
      <c r="AO59" s="388"/>
      <c r="AP59" s="388"/>
      <c r="AQ59" s="388"/>
      <c r="AR59" s="388"/>
      <c r="AS59" s="452"/>
      <c r="AT59" s="68"/>
    </row>
    <row r="60" spans="2:46" s="40" customFormat="1" ht="9.9499999999999993" customHeight="1" x14ac:dyDescent="0.3">
      <c r="B60" s="63"/>
      <c r="C60" s="448"/>
      <c r="D60" s="449"/>
      <c r="E60" s="411"/>
      <c r="F60" s="412"/>
      <c r="G60" s="415"/>
      <c r="H60" s="416"/>
      <c r="I60" s="401"/>
      <c r="J60" s="401"/>
      <c r="K60" s="401"/>
      <c r="L60" s="401"/>
      <c r="M60" s="66" t="str">
        <f t="shared" si="2"/>
        <v/>
      </c>
      <c r="N60" s="379"/>
      <c r="O60" s="380"/>
      <c r="P60" s="386"/>
      <c r="Q60" s="379"/>
      <c r="R60" s="380"/>
      <c r="S60" s="386"/>
      <c r="T60" s="379"/>
      <c r="U60" s="380"/>
      <c r="V60" s="386"/>
      <c r="W60" s="379"/>
      <c r="X60" s="380"/>
      <c r="Y60" s="386"/>
      <c r="Z60" s="379"/>
      <c r="AA60" s="380"/>
      <c r="AB60" s="380"/>
      <c r="AC60" s="380"/>
      <c r="AD60" s="380"/>
      <c r="AE60" s="380"/>
      <c r="AF60" s="380"/>
      <c r="AG60" s="380"/>
      <c r="AH60" s="380"/>
      <c r="AI60" s="380"/>
      <c r="AJ60" s="380"/>
      <c r="AK60" s="380"/>
      <c r="AL60" s="380"/>
      <c r="AM60" s="380"/>
      <c r="AN60" s="380"/>
      <c r="AO60" s="380"/>
      <c r="AP60" s="380"/>
      <c r="AQ60" s="380"/>
      <c r="AR60" s="380"/>
      <c r="AS60" s="381"/>
      <c r="AT60" s="68"/>
    </row>
    <row r="61" spans="2:46" s="40" customFormat="1" ht="9.9499999999999993" customHeight="1" x14ac:dyDescent="0.3">
      <c r="B61" s="63"/>
      <c r="C61" s="448"/>
      <c r="D61" s="449"/>
      <c r="E61" s="411"/>
      <c r="F61" s="412"/>
      <c r="G61" s="415"/>
      <c r="H61" s="416"/>
      <c r="I61" s="401"/>
      <c r="J61" s="401"/>
      <c r="K61" s="401"/>
      <c r="L61" s="401"/>
      <c r="M61" s="66" t="str">
        <f t="shared" si="2"/>
        <v/>
      </c>
      <c r="N61" s="379"/>
      <c r="O61" s="380"/>
      <c r="P61" s="386"/>
      <c r="Q61" s="379"/>
      <c r="R61" s="380"/>
      <c r="S61" s="386"/>
      <c r="T61" s="379"/>
      <c r="U61" s="380"/>
      <c r="V61" s="386"/>
      <c r="W61" s="379"/>
      <c r="X61" s="380"/>
      <c r="Y61" s="386"/>
      <c r="Z61" s="379"/>
      <c r="AA61" s="380"/>
      <c r="AB61" s="380"/>
      <c r="AC61" s="380"/>
      <c r="AD61" s="380"/>
      <c r="AE61" s="380"/>
      <c r="AF61" s="380"/>
      <c r="AG61" s="380"/>
      <c r="AH61" s="380"/>
      <c r="AI61" s="380"/>
      <c r="AJ61" s="380"/>
      <c r="AK61" s="380"/>
      <c r="AL61" s="380"/>
      <c r="AM61" s="380"/>
      <c r="AN61" s="380"/>
      <c r="AO61" s="380"/>
      <c r="AP61" s="380"/>
      <c r="AQ61" s="380"/>
      <c r="AR61" s="380"/>
      <c r="AS61" s="381"/>
      <c r="AT61" s="68"/>
    </row>
    <row r="62" spans="2:46" s="40" customFormat="1" ht="9.9499999999999993" customHeight="1" x14ac:dyDescent="0.3">
      <c r="B62" s="63"/>
      <c r="C62" s="448"/>
      <c r="D62" s="449"/>
      <c r="E62" s="411"/>
      <c r="F62" s="412"/>
      <c r="G62" s="415"/>
      <c r="H62" s="416"/>
      <c r="I62" s="401"/>
      <c r="J62" s="401"/>
      <c r="K62" s="401"/>
      <c r="L62" s="401"/>
      <c r="M62" s="66" t="str">
        <f t="shared" si="2"/>
        <v/>
      </c>
      <c r="N62" s="379"/>
      <c r="O62" s="380"/>
      <c r="P62" s="386"/>
      <c r="Q62" s="379"/>
      <c r="R62" s="380"/>
      <c r="S62" s="386"/>
      <c r="T62" s="379"/>
      <c r="U62" s="380"/>
      <c r="V62" s="386"/>
      <c r="W62" s="379"/>
      <c r="X62" s="380"/>
      <c r="Y62" s="386"/>
      <c r="Z62" s="379"/>
      <c r="AA62" s="380"/>
      <c r="AB62" s="380"/>
      <c r="AC62" s="380"/>
      <c r="AD62" s="380"/>
      <c r="AE62" s="380"/>
      <c r="AF62" s="380"/>
      <c r="AG62" s="380"/>
      <c r="AH62" s="380"/>
      <c r="AI62" s="380"/>
      <c r="AJ62" s="380"/>
      <c r="AK62" s="380"/>
      <c r="AL62" s="380"/>
      <c r="AM62" s="380"/>
      <c r="AN62" s="380"/>
      <c r="AO62" s="380"/>
      <c r="AP62" s="380"/>
      <c r="AQ62" s="380"/>
      <c r="AR62" s="380"/>
      <c r="AS62" s="381"/>
      <c r="AT62" s="68"/>
    </row>
    <row r="63" spans="2:46" s="40" customFormat="1" ht="9.9499999999999993" customHeight="1" x14ac:dyDescent="0.3">
      <c r="B63" s="63"/>
      <c r="C63" s="448">
        <f>IFERROR(TIME(HOUR(C59) + 1, 0, 0), "")</f>
        <v>0.54166666666666663</v>
      </c>
      <c r="D63" s="449"/>
      <c r="E63" s="411"/>
      <c r="F63" s="412"/>
      <c r="G63" s="415"/>
      <c r="H63" s="416"/>
      <c r="I63" s="401"/>
      <c r="J63" s="401"/>
      <c r="K63" s="401"/>
      <c r="L63" s="401"/>
      <c r="M63" s="66" t="str">
        <f t="shared" si="2"/>
        <v/>
      </c>
      <c r="N63" s="379"/>
      <c r="O63" s="380"/>
      <c r="P63" s="386"/>
      <c r="Q63" s="379"/>
      <c r="R63" s="380"/>
      <c r="S63" s="386"/>
      <c r="T63" s="379"/>
      <c r="U63" s="380"/>
      <c r="V63" s="386"/>
      <c r="W63" s="379"/>
      <c r="X63" s="380"/>
      <c r="Y63" s="386"/>
      <c r="Z63" s="379"/>
      <c r="AA63" s="380"/>
      <c r="AB63" s="380"/>
      <c r="AC63" s="380"/>
      <c r="AD63" s="380"/>
      <c r="AE63" s="380"/>
      <c r="AF63" s="380"/>
      <c r="AG63" s="380"/>
      <c r="AH63" s="380"/>
      <c r="AI63" s="380"/>
      <c r="AJ63" s="380"/>
      <c r="AK63" s="380"/>
      <c r="AL63" s="380"/>
      <c r="AM63" s="380"/>
      <c r="AN63" s="380"/>
      <c r="AO63" s="380"/>
      <c r="AP63" s="380"/>
      <c r="AQ63" s="380"/>
      <c r="AR63" s="380"/>
      <c r="AS63" s="381"/>
      <c r="AT63" s="68"/>
    </row>
    <row r="64" spans="2:46" s="40" customFormat="1" ht="9.9499999999999993" customHeight="1" x14ac:dyDescent="0.3">
      <c r="B64" s="63"/>
      <c r="C64" s="448"/>
      <c r="D64" s="449"/>
      <c r="E64" s="411"/>
      <c r="F64" s="412"/>
      <c r="G64" s="415"/>
      <c r="H64" s="416"/>
      <c r="I64" s="401"/>
      <c r="J64" s="401"/>
      <c r="K64" s="401"/>
      <c r="L64" s="401"/>
      <c r="M64" s="66" t="str">
        <f t="shared" si="2"/>
        <v/>
      </c>
      <c r="N64" s="379"/>
      <c r="O64" s="380"/>
      <c r="P64" s="386"/>
      <c r="Q64" s="379"/>
      <c r="R64" s="380"/>
      <c r="S64" s="386"/>
      <c r="T64" s="379"/>
      <c r="U64" s="380"/>
      <c r="V64" s="386"/>
      <c r="W64" s="379"/>
      <c r="X64" s="380"/>
      <c r="Y64" s="386"/>
      <c r="Z64" s="379"/>
      <c r="AA64" s="380"/>
      <c r="AB64" s="380"/>
      <c r="AC64" s="380"/>
      <c r="AD64" s="380"/>
      <c r="AE64" s="380"/>
      <c r="AF64" s="380"/>
      <c r="AG64" s="380"/>
      <c r="AH64" s="380"/>
      <c r="AI64" s="380"/>
      <c r="AJ64" s="380"/>
      <c r="AK64" s="380"/>
      <c r="AL64" s="380"/>
      <c r="AM64" s="380"/>
      <c r="AN64" s="380"/>
      <c r="AO64" s="380"/>
      <c r="AP64" s="380"/>
      <c r="AQ64" s="380"/>
      <c r="AR64" s="380"/>
      <c r="AS64" s="381"/>
      <c r="AT64" s="68"/>
    </row>
    <row r="65" spans="2:47" s="40" customFormat="1" ht="9.9499999999999993" customHeight="1" x14ac:dyDescent="0.3">
      <c r="B65" s="63"/>
      <c r="C65" s="448"/>
      <c r="D65" s="449"/>
      <c r="E65" s="399"/>
      <c r="F65" s="400"/>
      <c r="G65" s="417"/>
      <c r="H65" s="418"/>
      <c r="I65" s="401"/>
      <c r="J65" s="401"/>
      <c r="K65" s="401"/>
      <c r="L65" s="401"/>
      <c r="M65" s="66" t="str">
        <f t="shared" si="2"/>
        <v/>
      </c>
      <c r="N65" s="379"/>
      <c r="O65" s="380"/>
      <c r="P65" s="386"/>
      <c r="Q65" s="379"/>
      <c r="R65" s="380"/>
      <c r="S65" s="386"/>
      <c r="T65" s="379"/>
      <c r="U65" s="380"/>
      <c r="V65" s="386"/>
      <c r="W65" s="379"/>
      <c r="X65" s="380"/>
      <c r="Y65" s="386"/>
      <c r="Z65" s="379"/>
      <c r="AA65" s="380"/>
      <c r="AB65" s="380"/>
      <c r="AC65" s="380"/>
      <c r="AD65" s="380"/>
      <c r="AE65" s="380"/>
      <c r="AF65" s="380"/>
      <c r="AG65" s="380"/>
      <c r="AH65" s="380"/>
      <c r="AI65" s="380"/>
      <c r="AJ65" s="380"/>
      <c r="AK65" s="380"/>
      <c r="AL65" s="380"/>
      <c r="AM65" s="380"/>
      <c r="AN65" s="380"/>
      <c r="AO65" s="380"/>
      <c r="AP65" s="380"/>
      <c r="AQ65" s="380"/>
      <c r="AR65" s="380"/>
      <c r="AS65" s="381"/>
      <c r="AT65" s="68"/>
    </row>
    <row r="66" spans="2:47" s="40" customFormat="1" ht="9.9499999999999993" customHeight="1" x14ac:dyDescent="0.3">
      <c r="B66" s="60"/>
      <c r="C66" s="448"/>
      <c r="D66" s="449"/>
      <c r="E66" s="393">
        <f ca="1">IFERROR(E57 + E59, "")</f>
        <v>64</v>
      </c>
      <c r="F66" s="394"/>
      <c r="G66" s="397">
        <f>G57+G59</f>
        <v>60</v>
      </c>
      <c r="H66" s="398"/>
      <c r="I66" s="401"/>
      <c r="J66" s="401"/>
      <c r="K66" s="401"/>
      <c r="L66" s="401"/>
      <c r="M66" s="66" t="str">
        <f t="shared" si="2"/>
        <v/>
      </c>
      <c r="N66" s="379"/>
      <c r="O66" s="380"/>
      <c r="P66" s="386"/>
      <c r="Q66" s="379"/>
      <c r="R66" s="380"/>
      <c r="S66" s="386"/>
      <c r="T66" s="379"/>
      <c r="U66" s="380"/>
      <c r="V66" s="386"/>
      <c r="W66" s="379"/>
      <c r="X66" s="380"/>
      <c r="Y66" s="386"/>
      <c r="Z66" s="379"/>
      <c r="AA66" s="380"/>
      <c r="AB66" s="380"/>
      <c r="AC66" s="380"/>
      <c r="AD66" s="380"/>
      <c r="AE66" s="380"/>
      <c r="AF66" s="380"/>
      <c r="AG66" s="380"/>
      <c r="AH66" s="380"/>
      <c r="AI66" s="380"/>
      <c r="AJ66" s="380"/>
      <c r="AK66" s="380"/>
      <c r="AL66" s="380"/>
      <c r="AM66" s="380"/>
      <c r="AN66" s="380"/>
      <c r="AO66" s="380"/>
      <c r="AP66" s="380"/>
      <c r="AQ66" s="380"/>
      <c r="AR66" s="380"/>
      <c r="AS66" s="381"/>
      <c r="AT66" s="68"/>
    </row>
    <row r="67" spans="2:47" s="40" customFormat="1" ht="9.9499999999999993" customHeight="1" x14ac:dyDescent="0.3">
      <c r="B67" s="60"/>
      <c r="C67" s="450"/>
      <c r="D67" s="451"/>
      <c r="E67" s="395"/>
      <c r="F67" s="396"/>
      <c r="G67" s="399"/>
      <c r="H67" s="400"/>
      <c r="I67" s="401"/>
      <c r="J67" s="401"/>
      <c r="K67" s="401"/>
      <c r="L67" s="401"/>
      <c r="M67" s="67" t="str">
        <f t="shared" si="2"/>
        <v/>
      </c>
      <c r="N67" s="382"/>
      <c r="O67" s="383"/>
      <c r="P67" s="384"/>
      <c r="Q67" s="382"/>
      <c r="R67" s="383"/>
      <c r="S67" s="384"/>
      <c r="T67" s="382"/>
      <c r="U67" s="383"/>
      <c r="V67" s="384"/>
      <c r="W67" s="382"/>
      <c r="X67" s="383"/>
      <c r="Y67" s="384"/>
      <c r="Z67" s="382"/>
      <c r="AA67" s="383"/>
      <c r="AB67" s="383"/>
      <c r="AC67" s="383"/>
      <c r="AD67" s="383"/>
      <c r="AE67" s="383"/>
      <c r="AF67" s="383"/>
      <c r="AG67" s="383"/>
      <c r="AH67" s="383"/>
      <c r="AI67" s="383"/>
      <c r="AJ67" s="383"/>
      <c r="AK67" s="383"/>
      <c r="AL67" s="383"/>
      <c r="AM67" s="383"/>
      <c r="AN67" s="383"/>
      <c r="AO67" s="383"/>
      <c r="AP67" s="383"/>
      <c r="AQ67" s="383"/>
      <c r="AR67" s="383"/>
      <c r="AS67" s="385"/>
      <c r="AT67" s="68"/>
    </row>
    <row r="68" spans="2:47" s="40" customFormat="1" ht="9.9499999999999993" customHeight="1" x14ac:dyDescent="0.3">
      <c r="B68" s="60"/>
      <c r="C68" s="446">
        <f>C63</f>
        <v>0.54166666666666663</v>
      </c>
      <c r="D68" s="447"/>
      <c r="E68" s="397">
        <f ca="1">IFERROR(
  _xlfn.LET(
    _xlpm.time_diff,
    MOD(C72 - C68, 1),
    _xlpm.minutes,
    MINUTE(_xlpm.time_diff),
    _xlpm.pausas,
    SUMIF($T68:$V76, "Pausa", $K68:$L76),
    _xlpm.efficiency,
    (1 - _xlpm.pausas / IF(_xlpm.minutes = 0, 60, _xlpm.minutes)),
    _xlpm.result,
    IF(
       _xlpm.minutes = 0,
       ROUND(60 * 60 / cycle_time_welding * _xlpm.efficiency, 0),
       ROUND(_xlpm.minutes * 60 / cycle_time_welding * _xlpm.efficiency, 0)
      ),
    _xlpm.result
  ),
0)</f>
        <v>11</v>
      </c>
      <c r="F68" s="398"/>
      <c r="G68" s="413">
        <v>11</v>
      </c>
      <c r="H68" s="414"/>
      <c r="I68" s="419"/>
      <c r="J68" s="419"/>
      <c r="K68" s="419">
        <f>IF(Q5 = "X", 10, 0)</f>
        <v>0</v>
      </c>
      <c r="L68" s="419"/>
      <c r="M68" s="112" t="str">
        <f t="shared" si="2"/>
        <v/>
      </c>
      <c r="N68" s="387"/>
      <c r="O68" s="388"/>
      <c r="P68" s="389"/>
      <c r="Q68" s="387"/>
      <c r="R68" s="388"/>
      <c r="S68" s="389"/>
      <c r="T68" s="387" t="str">
        <f>IF($Q$5 = "X", "Break", "")</f>
        <v/>
      </c>
      <c r="U68" s="388"/>
      <c r="V68" s="389"/>
      <c r="W68" s="387"/>
      <c r="X68" s="388"/>
      <c r="Y68" s="389"/>
      <c r="Z68" s="387"/>
      <c r="AA68" s="388"/>
      <c r="AB68" s="388"/>
      <c r="AC68" s="388"/>
      <c r="AD68" s="388"/>
      <c r="AE68" s="388"/>
      <c r="AF68" s="388"/>
      <c r="AG68" s="388"/>
      <c r="AH68" s="388"/>
      <c r="AI68" s="388"/>
      <c r="AJ68" s="388"/>
      <c r="AK68" s="388"/>
      <c r="AL68" s="388"/>
      <c r="AM68" s="388"/>
      <c r="AN68" s="388"/>
      <c r="AO68" s="388"/>
      <c r="AP68" s="388"/>
      <c r="AQ68" s="388"/>
      <c r="AR68" s="388"/>
      <c r="AS68" s="452"/>
      <c r="AT68" s="68"/>
    </row>
    <row r="69" spans="2:47" s="40" customFormat="1" ht="9.9499999999999993" customHeight="1" x14ac:dyDescent="0.3">
      <c r="B69" s="60"/>
      <c r="C69" s="448"/>
      <c r="D69" s="449"/>
      <c r="E69" s="411"/>
      <c r="F69" s="412"/>
      <c r="G69" s="415"/>
      <c r="H69" s="416"/>
      <c r="I69" s="401"/>
      <c r="J69" s="401"/>
      <c r="K69" s="401"/>
      <c r="L69" s="401"/>
      <c r="M69" s="66" t="str">
        <f t="shared" si="2"/>
        <v/>
      </c>
      <c r="N69" s="379"/>
      <c r="O69" s="380"/>
      <c r="P69" s="386"/>
      <c r="Q69" s="379"/>
      <c r="R69" s="380"/>
      <c r="S69" s="386"/>
      <c r="T69" s="379"/>
      <c r="U69" s="380"/>
      <c r="V69" s="386"/>
      <c r="W69" s="379"/>
      <c r="X69" s="380"/>
      <c r="Y69" s="386"/>
      <c r="Z69" s="379"/>
      <c r="AA69" s="380"/>
      <c r="AB69" s="380"/>
      <c r="AC69" s="380"/>
      <c r="AD69" s="380"/>
      <c r="AE69" s="380"/>
      <c r="AF69" s="380"/>
      <c r="AG69" s="380"/>
      <c r="AH69" s="380"/>
      <c r="AI69" s="380"/>
      <c r="AJ69" s="380"/>
      <c r="AK69" s="380"/>
      <c r="AL69" s="380"/>
      <c r="AM69" s="380"/>
      <c r="AN69" s="380"/>
      <c r="AO69" s="380"/>
      <c r="AP69" s="380"/>
      <c r="AQ69" s="380"/>
      <c r="AR69" s="380"/>
      <c r="AS69" s="381"/>
      <c r="AT69" s="68"/>
    </row>
    <row r="70" spans="2:47" s="40" customFormat="1" ht="9.9499999999999993" customHeight="1" x14ac:dyDescent="0.3">
      <c r="B70" s="60"/>
      <c r="C70" s="448"/>
      <c r="D70" s="449"/>
      <c r="E70" s="411"/>
      <c r="F70" s="412"/>
      <c r="G70" s="415"/>
      <c r="H70" s="416"/>
      <c r="I70" s="401"/>
      <c r="J70" s="401"/>
      <c r="K70" s="401"/>
      <c r="L70" s="401"/>
      <c r="M70" s="66" t="str">
        <f t="shared" si="2"/>
        <v/>
      </c>
      <c r="N70" s="379"/>
      <c r="O70" s="380"/>
      <c r="P70" s="386"/>
      <c r="Q70" s="379"/>
      <c r="R70" s="380"/>
      <c r="S70" s="386"/>
      <c r="T70" s="379"/>
      <c r="U70" s="380"/>
      <c r="V70" s="386"/>
      <c r="W70" s="379"/>
      <c r="X70" s="380"/>
      <c r="Y70" s="386"/>
      <c r="Z70" s="379"/>
      <c r="AA70" s="380"/>
      <c r="AB70" s="380"/>
      <c r="AC70" s="380"/>
      <c r="AD70" s="380"/>
      <c r="AE70" s="380"/>
      <c r="AF70" s="380"/>
      <c r="AG70" s="380"/>
      <c r="AH70" s="380"/>
      <c r="AI70" s="380"/>
      <c r="AJ70" s="380"/>
      <c r="AK70" s="380"/>
      <c r="AL70" s="380"/>
      <c r="AM70" s="380"/>
      <c r="AN70" s="380"/>
      <c r="AO70" s="380"/>
      <c r="AP70" s="380"/>
      <c r="AQ70" s="380"/>
      <c r="AR70" s="380"/>
      <c r="AS70" s="381"/>
      <c r="AT70" s="68"/>
    </row>
    <row r="71" spans="2:47" s="40" customFormat="1" ht="9.9499999999999993" customHeight="1" x14ac:dyDescent="0.3">
      <c r="B71" s="60"/>
      <c r="C71" s="448"/>
      <c r="D71" s="449"/>
      <c r="E71" s="411"/>
      <c r="F71" s="412"/>
      <c r="G71" s="415"/>
      <c r="H71" s="416"/>
      <c r="I71" s="401"/>
      <c r="J71" s="401"/>
      <c r="K71" s="401"/>
      <c r="L71" s="401"/>
      <c r="M71" s="66" t="str">
        <f t="shared" si="2"/>
        <v/>
      </c>
      <c r="N71" s="379"/>
      <c r="O71" s="380"/>
      <c r="P71" s="386"/>
      <c r="Q71" s="379"/>
      <c r="R71" s="380"/>
      <c r="S71" s="386"/>
      <c r="T71" s="379"/>
      <c r="U71" s="380"/>
      <c r="V71" s="386"/>
      <c r="W71" s="379"/>
      <c r="X71" s="380"/>
      <c r="Y71" s="386"/>
      <c r="Z71" s="379"/>
      <c r="AA71" s="380"/>
      <c r="AB71" s="380"/>
      <c r="AC71" s="380"/>
      <c r="AD71" s="380"/>
      <c r="AE71" s="380"/>
      <c r="AF71" s="380"/>
      <c r="AG71" s="380"/>
      <c r="AH71" s="380"/>
      <c r="AI71" s="380"/>
      <c r="AJ71" s="380"/>
      <c r="AK71" s="380"/>
      <c r="AL71" s="380"/>
      <c r="AM71" s="380"/>
      <c r="AN71" s="380"/>
      <c r="AO71" s="380"/>
      <c r="AP71" s="380"/>
      <c r="AQ71" s="380"/>
      <c r="AR71" s="380"/>
      <c r="AS71" s="381"/>
      <c r="AT71" s="68"/>
    </row>
    <row r="72" spans="2:47" s="40" customFormat="1" ht="9.9499999999999993" customHeight="1" x14ac:dyDescent="0.3">
      <c r="B72" s="60"/>
      <c r="C72" s="448">
        <f>IFERROR(TIME(HOUR(C68) + 1, 0, 0), "")</f>
        <v>0.58333333333333337</v>
      </c>
      <c r="D72" s="449"/>
      <c r="E72" s="411"/>
      <c r="F72" s="412"/>
      <c r="G72" s="415"/>
      <c r="H72" s="416"/>
      <c r="I72" s="401">
        <v>11</v>
      </c>
      <c r="J72" s="401"/>
      <c r="K72" s="401"/>
      <c r="L72" s="401"/>
      <c r="M72" s="66">
        <f t="shared" si="2"/>
        <v>11</v>
      </c>
      <c r="N72" s="379" t="s">
        <v>384</v>
      </c>
      <c r="O72" s="380"/>
      <c r="P72" s="386"/>
      <c r="Q72" s="379" t="s">
        <v>460</v>
      </c>
      <c r="R72" s="380"/>
      <c r="S72" s="386"/>
      <c r="T72" s="379" t="s">
        <v>271</v>
      </c>
      <c r="U72" s="380"/>
      <c r="V72" s="386"/>
      <c r="W72" s="379" t="s">
        <v>295</v>
      </c>
      <c r="X72" s="380"/>
      <c r="Y72" s="386"/>
      <c r="Z72" s="379" t="s">
        <v>543</v>
      </c>
      <c r="AA72" s="380"/>
      <c r="AB72" s="380"/>
      <c r="AC72" s="380"/>
      <c r="AD72" s="380"/>
      <c r="AE72" s="380"/>
      <c r="AF72" s="380"/>
      <c r="AG72" s="380"/>
      <c r="AH72" s="380"/>
      <c r="AI72" s="380"/>
      <c r="AJ72" s="380"/>
      <c r="AK72" s="380"/>
      <c r="AL72" s="380"/>
      <c r="AM72" s="380"/>
      <c r="AN72" s="380"/>
      <c r="AO72" s="380"/>
      <c r="AP72" s="380"/>
      <c r="AQ72" s="380"/>
      <c r="AR72" s="380"/>
      <c r="AS72" s="381"/>
      <c r="AT72" s="68"/>
    </row>
    <row r="73" spans="2:47" s="40" customFormat="1" ht="9.9499999999999993" customHeight="1" x14ac:dyDescent="0.3">
      <c r="B73" s="60"/>
      <c r="C73" s="448"/>
      <c r="D73" s="449"/>
      <c r="E73" s="411"/>
      <c r="F73" s="412"/>
      <c r="G73" s="415"/>
      <c r="H73" s="416"/>
      <c r="I73" s="401"/>
      <c r="J73" s="401"/>
      <c r="K73" s="401"/>
      <c r="L73" s="401"/>
      <c r="M73" s="66" t="str">
        <f t="shared" si="2"/>
        <v/>
      </c>
      <c r="N73" s="379"/>
      <c r="O73" s="380"/>
      <c r="P73" s="386"/>
      <c r="Q73" s="379"/>
      <c r="R73" s="380"/>
      <c r="S73" s="386"/>
      <c r="T73" s="379"/>
      <c r="U73" s="380"/>
      <c r="V73" s="386"/>
      <c r="W73" s="379"/>
      <c r="X73" s="380"/>
      <c r="Y73" s="386"/>
      <c r="Z73" s="379"/>
      <c r="AA73" s="380"/>
      <c r="AB73" s="380"/>
      <c r="AC73" s="380"/>
      <c r="AD73" s="380"/>
      <c r="AE73" s="380"/>
      <c r="AF73" s="380"/>
      <c r="AG73" s="380"/>
      <c r="AH73" s="380"/>
      <c r="AI73" s="380"/>
      <c r="AJ73" s="380"/>
      <c r="AK73" s="380"/>
      <c r="AL73" s="380"/>
      <c r="AM73" s="380"/>
      <c r="AN73" s="380"/>
      <c r="AO73" s="380"/>
      <c r="AP73" s="380"/>
      <c r="AQ73" s="380"/>
      <c r="AR73" s="380"/>
      <c r="AS73" s="381"/>
      <c r="AT73" s="68"/>
    </row>
    <row r="74" spans="2:47" s="40" customFormat="1" ht="9.9499999999999993" customHeight="1" x14ac:dyDescent="0.3">
      <c r="B74" s="60"/>
      <c r="C74" s="448"/>
      <c r="D74" s="449"/>
      <c r="E74" s="399"/>
      <c r="F74" s="400"/>
      <c r="G74" s="417"/>
      <c r="H74" s="418"/>
      <c r="I74" s="401"/>
      <c r="J74" s="401"/>
      <c r="K74" s="401"/>
      <c r="L74" s="401"/>
      <c r="M74" s="66" t="str">
        <f t="shared" si="2"/>
        <v/>
      </c>
      <c r="N74" s="379"/>
      <c r="O74" s="380"/>
      <c r="P74" s="386"/>
      <c r="Q74" s="379"/>
      <c r="R74" s="380"/>
      <c r="S74" s="386"/>
      <c r="T74" s="379"/>
      <c r="U74" s="380"/>
      <c r="V74" s="386"/>
      <c r="W74" s="379"/>
      <c r="X74" s="380"/>
      <c r="Y74" s="386"/>
      <c r="Z74" s="379"/>
      <c r="AA74" s="380"/>
      <c r="AB74" s="380"/>
      <c r="AC74" s="380"/>
      <c r="AD74" s="380"/>
      <c r="AE74" s="380"/>
      <c r="AF74" s="380"/>
      <c r="AG74" s="380"/>
      <c r="AH74" s="380"/>
      <c r="AI74" s="380"/>
      <c r="AJ74" s="380"/>
      <c r="AK74" s="380"/>
      <c r="AL74" s="380"/>
      <c r="AM74" s="380"/>
      <c r="AN74" s="380"/>
      <c r="AO74" s="380"/>
      <c r="AP74" s="380"/>
      <c r="AQ74" s="380"/>
      <c r="AR74" s="380"/>
      <c r="AS74" s="381"/>
      <c r="AT74" s="68"/>
    </row>
    <row r="75" spans="2:47" s="40" customFormat="1" ht="9.9499999999999993" customHeight="1" x14ac:dyDescent="0.3">
      <c r="B75" s="60"/>
      <c r="C75" s="448"/>
      <c r="D75" s="449"/>
      <c r="E75" s="393">
        <f ca="1">IFERROR(E66 + E68, "")</f>
        <v>75</v>
      </c>
      <c r="F75" s="394"/>
      <c r="G75" s="397">
        <f>G66+G68</f>
        <v>71</v>
      </c>
      <c r="H75" s="398"/>
      <c r="I75" s="401"/>
      <c r="J75" s="401"/>
      <c r="K75" s="401"/>
      <c r="L75" s="401"/>
      <c r="M75" s="66" t="str">
        <f t="shared" si="2"/>
        <v/>
      </c>
      <c r="N75" s="379"/>
      <c r="O75" s="380"/>
      <c r="P75" s="386"/>
      <c r="Q75" s="379"/>
      <c r="R75" s="380"/>
      <c r="S75" s="386"/>
      <c r="T75" s="379"/>
      <c r="U75" s="380"/>
      <c r="V75" s="386"/>
      <c r="W75" s="379"/>
      <c r="X75" s="380"/>
      <c r="Y75" s="386"/>
      <c r="Z75" s="379"/>
      <c r="AA75" s="380"/>
      <c r="AB75" s="380"/>
      <c r="AC75" s="380"/>
      <c r="AD75" s="380"/>
      <c r="AE75" s="380"/>
      <c r="AF75" s="380"/>
      <c r="AG75" s="380"/>
      <c r="AH75" s="380"/>
      <c r="AI75" s="380"/>
      <c r="AJ75" s="380"/>
      <c r="AK75" s="380"/>
      <c r="AL75" s="380"/>
      <c r="AM75" s="380"/>
      <c r="AN75" s="380"/>
      <c r="AO75" s="380"/>
      <c r="AP75" s="380"/>
      <c r="AQ75" s="380"/>
      <c r="AR75" s="380"/>
      <c r="AS75" s="381"/>
      <c r="AT75" s="68"/>
    </row>
    <row r="76" spans="2:47" s="40" customFormat="1" ht="9.9499999999999993" customHeight="1" x14ac:dyDescent="0.3">
      <c r="B76" s="60"/>
      <c r="C76" s="450"/>
      <c r="D76" s="451"/>
      <c r="E76" s="395"/>
      <c r="F76" s="396"/>
      <c r="G76" s="399"/>
      <c r="H76" s="400"/>
      <c r="I76" s="401"/>
      <c r="J76" s="401"/>
      <c r="K76" s="401"/>
      <c r="L76" s="401"/>
      <c r="M76" s="67" t="str">
        <f t="shared" si="2"/>
        <v/>
      </c>
      <c r="N76" s="382"/>
      <c r="O76" s="383"/>
      <c r="P76" s="384"/>
      <c r="Q76" s="382"/>
      <c r="R76" s="383"/>
      <c r="S76" s="384"/>
      <c r="T76" s="382"/>
      <c r="U76" s="383"/>
      <c r="V76" s="384"/>
      <c r="W76" s="382"/>
      <c r="X76" s="383"/>
      <c r="Y76" s="384"/>
      <c r="Z76" s="382"/>
      <c r="AA76" s="383"/>
      <c r="AB76" s="383"/>
      <c r="AC76" s="383"/>
      <c r="AD76" s="383"/>
      <c r="AE76" s="383"/>
      <c r="AF76" s="383"/>
      <c r="AG76" s="383"/>
      <c r="AH76" s="383"/>
      <c r="AI76" s="383"/>
      <c r="AJ76" s="383"/>
      <c r="AK76" s="383"/>
      <c r="AL76" s="383"/>
      <c r="AM76" s="383"/>
      <c r="AN76" s="383"/>
      <c r="AO76" s="383"/>
      <c r="AP76" s="383"/>
      <c r="AQ76" s="383"/>
      <c r="AR76" s="383"/>
      <c r="AS76" s="385"/>
      <c r="AT76" s="48"/>
    </row>
    <row r="77" spans="2:47" s="40" customFormat="1" ht="9.9499999999999993" customHeight="1" x14ac:dyDescent="0.3">
      <c r="B77" s="60"/>
      <c r="C77" s="446">
        <f>C72</f>
        <v>0.58333333333333337</v>
      </c>
      <c r="D77" s="447"/>
      <c r="E77" s="397">
        <f ca="1">IFERROR(
  _xlfn.LET(
    _xlpm.time_diff,
    MOD(C81 - C77, 1),
    _xlpm.minutes,
    MINUTE(_xlpm.time_diff),
    _xlpm.pausas,
    SUMIF($T77:$V85, "Pausa", $K77:$L85),
    _xlpm.efficiency,
    (1 - _xlpm.pausas / IF(_xlpm.minutes = 0, 60, _xlpm.minutes)),
    _xlpm.result,
    IF(
       _xlpm.minutes = 0,
       ROUND(60 * 60 / cycle_time_welding * _xlpm.efficiency, 0),
       ROUND(_xlpm.minutes * 60 / cycle_time_welding * _xlpm.efficiency, 0)
      ),
    _xlpm.result
  ),
0)</f>
        <v>11</v>
      </c>
      <c r="F77" s="398"/>
      <c r="G77" s="413">
        <v>11</v>
      </c>
      <c r="H77" s="414"/>
      <c r="I77" s="419"/>
      <c r="J77" s="419"/>
      <c r="K77" s="419">
        <f>IF(OR(R5 = "X", S5 = "X"), 10, 0)</f>
        <v>10</v>
      </c>
      <c r="L77" s="419"/>
      <c r="M77" s="112">
        <f t="shared" si="2"/>
        <v>10</v>
      </c>
      <c r="N77" s="387"/>
      <c r="O77" s="388"/>
      <c r="P77" s="389"/>
      <c r="Q77" s="387"/>
      <c r="R77" s="388"/>
      <c r="S77" s="389"/>
      <c r="T77" s="387" t="str">
        <f>IF($Q$5 = "X", "Break", IF($R$5 = "X", "Break", IF($S$5 = "X", "Break", "")))</f>
        <v>Break</v>
      </c>
      <c r="U77" s="388"/>
      <c r="V77" s="389"/>
      <c r="W77" s="387"/>
      <c r="X77" s="388"/>
      <c r="Y77" s="389"/>
      <c r="Z77" s="387"/>
      <c r="AA77" s="388"/>
      <c r="AB77" s="388"/>
      <c r="AC77" s="388"/>
      <c r="AD77" s="388"/>
      <c r="AE77" s="388"/>
      <c r="AF77" s="388"/>
      <c r="AG77" s="388"/>
      <c r="AH77" s="388"/>
      <c r="AI77" s="388"/>
      <c r="AJ77" s="388"/>
      <c r="AK77" s="388"/>
      <c r="AL77" s="388"/>
      <c r="AM77" s="388"/>
      <c r="AN77" s="388"/>
      <c r="AO77" s="388"/>
      <c r="AP77" s="388"/>
      <c r="AQ77" s="388"/>
      <c r="AR77" s="388"/>
      <c r="AS77" s="452"/>
      <c r="AT77" s="68"/>
    </row>
    <row r="78" spans="2:47" s="40" customFormat="1" ht="9.9499999999999993" customHeight="1" x14ac:dyDescent="0.3">
      <c r="B78" s="60"/>
      <c r="C78" s="448"/>
      <c r="D78" s="449"/>
      <c r="E78" s="411"/>
      <c r="F78" s="412"/>
      <c r="G78" s="415"/>
      <c r="H78" s="416"/>
      <c r="I78" s="401"/>
      <c r="J78" s="401"/>
      <c r="K78" s="401"/>
      <c r="L78" s="401"/>
      <c r="M78" s="66" t="str">
        <f t="shared" si="2"/>
        <v/>
      </c>
      <c r="N78" s="379"/>
      <c r="O78" s="380"/>
      <c r="P78" s="386"/>
      <c r="Q78" s="379"/>
      <c r="R78" s="380"/>
      <c r="S78" s="386"/>
      <c r="T78" s="379"/>
      <c r="U78" s="380"/>
      <c r="V78" s="386"/>
      <c r="W78" s="379"/>
      <c r="X78" s="380"/>
      <c r="Y78" s="386"/>
      <c r="Z78" s="379"/>
      <c r="AA78" s="380"/>
      <c r="AB78" s="380"/>
      <c r="AC78" s="380"/>
      <c r="AD78" s="380"/>
      <c r="AE78" s="380"/>
      <c r="AF78" s="380"/>
      <c r="AG78" s="380"/>
      <c r="AH78" s="380"/>
      <c r="AI78" s="380"/>
      <c r="AJ78" s="380"/>
      <c r="AK78" s="380"/>
      <c r="AL78" s="380"/>
      <c r="AM78" s="380"/>
      <c r="AN78" s="380"/>
      <c r="AO78" s="380"/>
      <c r="AP78" s="380"/>
      <c r="AQ78" s="380"/>
      <c r="AR78" s="380"/>
      <c r="AS78" s="381"/>
      <c r="AT78" s="68"/>
      <c r="AU78" s="61"/>
    </row>
    <row r="79" spans="2:47" s="40" customFormat="1" ht="9.9499999999999993" customHeight="1" x14ac:dyDescent="0.3">
      <c r="B79" s="60"/>
      <c r="C79" s="448"/>
      <c r="D79" s="449"/>
      <c r="E79" s="411"/>
      <c r="F79" s="412"/>
      <c r="G79" s="415"/>
      <c r="H79" s="416"/>
      <c r="I79" s="401"/>
      <c r="J79" s="401"/>
      <c r="K79" s="401"/>
      <c r="L79" s="401"/>
      <c r="M79" s="66" t="str">
        <f t="shared" ref="M79:M94" si="3">IF(K79+I79=0,"",K79+I79)</f>
        <v/>
      </c>
      <c r="N79" s="379"/>
      <c r="O79" s="380"/>
      <c r="P79" s="386"/>
      <c r="Q79" s="379"/>
      <c r="R79" s="380"/>
      <c r="S79" s="386"/>
      <c r="T79" s="379"/>
      <c r="U79" s="380"/>
      <c r="V79" s="386"/>
      <c r="W79" s="379"/>
      <c r="X79" s="380"/>
      <c r="Y79" s="386"/>
      <c r="Z79" s="379"/>
      <c r="AA79" s="380"/>
      <c r="AB79" s="380"/>
      <c r="AC79" s="380"/>
      <c r="AD79" s="380"/>
      <c r="AE79" s="380"/>
      <c r="AF79" s="380"/>
      <c r="AG79" s="380"/>
      <c r="AH79" s="380"/>
      <c r="AI79" s="380"/>
      <c r="AJ79" s="380"/>
      <c r="AK79" s="380"/>
      <c r="AL79" s="380"/>
      <c r="AM79" s="380"/>
      <c r="AN79" s="380"/>
      <c r="AO79" s="380"/>
      <c r="AP79" s="380"/>
      <c r="AQ79" s="380"/>
      <c r="AR79" s="380"/>
      <c r="AS79" s="381"/>
      <c r="AT79" s="68"/>
    </row>
    <row r="80" spans="2:47" s="40" customFormat="1" ht="9.9499999999999993" customHeight="1" x14ac:dyDescent="0.3">
      <c r="B80" s="60"/>
      <c r="C80" s="448"/>
      <c r="D80" s="449"/>
      <c r="E80" s="411"/>
      <c r="F80" s="412"/>
      <c r="G80" s="415"/>
      <c r="H80" s="416"/>
      <c r="I80" s="401"/>
      <c r="J80" s="401"/>
      <c r="K80" s="401"/>
      <c r="L80" s="401"/>
      <c r="M80" s="66" t="str">
        <f t="shared" si="3"/>
        <v/>
      </c>
      <c r="N80" s="379"/>
      <c r="O80" s="380"/>
      <c r="P80" s="386"/>
      <c r="Q80" s="379"/>
      <c r="R80" s="380"/>
      <c r="S80" s="386"/>
      <c r="T80" s="379"/>
      <c r="U80" s="380"/>
      <c r="V80" s="386"/>
      <c r="W80" s="379"/>
      <c r="X80" s="380"/>
      <c r="Y80" s="386"/>
      <c r="Z80" s="379"/>
      <c r="AA80" s="380"/>
      <c r="AB80" s="380"/>
      <c r="AC80" s="380"/>
      <c r="AD80" s="380"/>
      <c r="AE80" s="380"/>
      <c r="AF80" s="380"/>
      <c r="AG80" s="380"/>
      <c r="AH80" s="380"/>
      <c r="AI80" s="380"/>
      <c r="AJ80" s="380"/>
      <c r="AK80" s="380"/>
      <c r="AL80" s="380"/>
      <c r="AM80" s="380"/>
      <c r="AN80" s="380"/>
      <c r="AO80" s="380"/>
      <c r="AP80" s="380"/>
      <c r="AQ80" s="380"/>
      <c r="AR80" s="380"/>
      <c r="AS80" s="381"/>
      <c r="AT80" s="68"/>
    </row>
    <row r="81" spans="2:54" s="40" customFormat="1" ht="9.9499999999999993" customHeight="1" x14ac:dyDescent="0.3">
      <c r="B81" s="60"/>
      <c r="C81" s="448">
        <f>IFERROR(
  IF(
    HOUR(C77)=7,
    TIME(7,10,0),
    TIME(HOUR(C77)+1,MINUTE(C77),0)
  ),
"")</f>
        <v>0.625</v>
      </c>
      <c r="D81" s="449"/>
      <c r="E81" s="411"/>
      <c r="F81" s="412"/>
      <c r="G81" s="415"/>
      <c r="H81" s="416"/>
      <c r="I81" s="401"/>
      <c r="J81" s="401"/>
      <c r="K81" s="401"/>
      <c r="L81" s="401"/>
      <c r="M81" s="66" t="str">
        <f t="shared" si="3"/>
        <v/>
      </c>
      <c r="N81" s="379"/>
      <c r="O81" s="380"/>
      <c r="P81" s="386"/>
      <c r="Q81" s="379"/>
      <c r="R81" s="380"/>
      <c r="S81" s="386"/>
      <c r="T81" s="379"/>
      <c r="U81" s="380"/>
      <c r="V81" s="386"/>
      <c r="W81" s="379"/>
      <c r="X81" s="380"/>
      <c r="Y81" s="386"/>
      <c r="Z81" s="379"/>
      <c r="AA81" s="380"/>
      <c r="AB81" s="380"/>
      <c r="AC81" s="380"/>
      <c r="AD81" s="380"/>
      <c r="AE81" s="380"/>
      <c r="AF81" s="380"/>
      <c r="AG81" s="380"/>
      <c r="AH81" s="380"/>
      <c r="AI81" s="380"/>
      <c r="AJ81" s="380"/>
      <c r="AK81" s="380"/>
      <c r="AL81" s="380"/>
      <c r="AM81" s="380"/>
      <c r="AN81" s="380"/>
      <c r="AO81" s="380"/>
      <c r="AP81" s="380"/>
      <c r="AQ81" s="380"/>
      <c r="AR81" s="380"/>
      <c r="AS81" s="381"/>
      <c r="AT81" s="68"/>
    </row>
    <row r="82" spans="2:54" s="40" customFormat="1" ht="9.9499999999999993" customHeight="1" x14ac:dyDescent="0.3">
      <c r="B82" s="60"/>
      <c r="C82" s="448"/>
      <c r="D82" s="449"/>
      <c r="E82" s="411"/>
      <c r="F82" s="412"/>
      <c r="G82" s="415"/>
      <c r="H82" s="416"/>
      <c r="I82" s="401"/>
      <c r="J82" s="401"/>
      <c r="K82" s="401"/>
      <c r="L82" s="401"/>
      <c r="M82" s="66" t="str">
        <f t="shared" si="3"/>
        <v/>
      </c>
      <c r="N82" s="379"/>
      <c r="O82" s="380"/>
      <c r="P82" s="386"/>
      <c r="Q82" s="379"/>
      <c r="R82" s="380"/>
      <c r="S82" s="386"/>
      <c r="T82" s="379"/>
      <c r="U82" s="380"/>
      <c r="V82" s="386"/>
      <c r="W82" s="379"/>
      <c r="X82" s="380"/>
      <c r="Y82" s="386"/>
      <c r="Z82" s="379"/>
      <c r="AA82" s="380"/>
      <c r="AB82" s="380"/>
      <c r="AC82" s="380"/>
      <c r="AD82" s="380"/>
      <c r="AE82" s="380"/>
      <c r="AF82" s="380"/>
      <c r="AG82" s="380"/>
      <c r="AH82" s="380"/>
      <c r="AI82" s="380"/>
      <c r="AJ82" s="380"/>
      <c r="AK82" s="380"/>
      <c r="AL82" s="380"/>
      <c r="AM82" s="380"/>
      <c r="AN82" s="380"/>
      <c r="AO82" s="380"/>
      <c r="AP82" s="380"/>
      <c r="AQ82" s="380"/>
      <c r="AR82" s="380"/>
      <c r="AS82" s="381"/>
      <c r="AT82" s="68"/>
    </row>
    <row r="83" spans="2:54" s="40" customFormat="1" ht="9.9499999999999993" customHeight="1" x14ac:dyDescent="0.3">
      <c r="B83" s="60"/>
      <c r="C83" s="448"/>
      <c r="D83" s="449"/>
      <c r="E83" s="399"/>
      <c r="F83" s="400"/>
      <c r="G83" s="417"/>
      <c r="H83" s="418"/>
      <c r="I83" s="401"/>
      <c r="J83" s="401"/>
      <c r="K83" s="401"/>
      <c r="L83" s="401"/>
      <c r="M83" s="66" t="str">
        <f t="shared" si="3"/>
        <v/>
      </c>
      <c r="N83" s="379"/>
      <c r="O83" s="380"/>
      <c r="P83" s="386"/>
      <c r="Q83" s="379"/>
      <c r="R83" s="380"/>
      <c r="S83" s="386"/>
      <c r="T83" s="379"/>
      <c r="U83" s="380"/>
      <c r="V83" s="386"/>
      <c r="W83" s="379"/>
      <c r="X83" s="380"/>
      <c r="Y83" s="386"/>
      <c r="Z83" s="379"/>
      <c r="AA83" s="380"/>
      <c r="AB83" s="380"/>
      <c r="AC83" s="380"/>
      <c r="AD83" s="380"/>
      <c r="AE83" s="380"/>
      <c r="AF83" s="380"/>
      <c r="AG83" s="380"/>
      <c r="AH83" s="380"/>
      <c r="AI83" s="380"/>
      <c r="AJ83" s="380"/>
      <c r="AK83" s="380"/>
      <c r="AL83" s="380"/>
      <c r="AM83" s="380"/>
      <c r="AN83" s="380"/>
      <c r="AO83" s="380"/>
      <c r="AP83" s="380"/>
      <c r="AQ83" s="380"/>
      <c r="AR83" s="380"/>
      <c r="AS83" s="381"/>
      <c r="AT83" s="68"/>
    </row>
    <row r="84" spans="2:54" s="40" customFormat="1" ht="9.9499999999999993" customHeight="1" x14ac:dyDescent="0.3">
      <c r="B84" s="60"/>
      <c r="C84" s="448"/>
      <c r="D84" s="449"/>
      <c r="E84" s="393">
        <f ca="1">IFERROR(E75 + E77, "")</f>
        <v>86</v>
      </c>
      <c r="F84" s="394"/>
      <c r="G84" s="397">
        <f>G75+G77</f>
        <v>82</v>
      </c>
      <c r="H84" s="398"/>
      <c r="I84" s="401"/>
      <c r="J84" s="401"/>
      <c r="K84" s="401"/>
      <c r="L84" s="401"/>
      <c r="M84" s="66" t="str">
        <f t="shared" si="3"/>
        <v/>
      </c>
      <c r="N84" s="379"/>
      <c r="O84" s="380"/>
      <c r="P84" s="386"/>
      <c r="Q84" s="379"/>
      <c r="R84" s="380"/>
      <c r="S84" s="386"/>
      <c r="T84" s="379"/>
      <c r="U84" s="380"/>
      <c r="V84" s="386"/>
      <c r="W84" s="379"/>
      <c r="X84" s="380"/>
      <c r="Y84" s="386"/>
      <c r="Z84" s="379"/>
      <c r="AA84" s="380"/>
      <c r="AB84" s="380"/>
      <c r="AC84" s="380"/>
      <c r="AD84" s="380"/>
      <c r="AE84" s="380"/>
      <c r="AF84" s="380"/>
      <c r="AG84" s="380"/>
      <c r="AH84" s="380"/>
      <c r="AI84" s="380"/>
      <c r="AJ84" s="380"/>
      <c r="AK84" s="380"/>
      <c r="AL84" s="380"/>
      <c r="AM84" s="380"/>
      <c r="AN84" s="380"/>
      <c r="AO84" s="380"/>
      <c r="AP84" s="380"/>
      <c r="AQ84" s="380"/>
      <c r="AR84" s="380"/>
      <c r="AS84" s="381"/>
      <c r="AT84" s="68"/>
    </row>
    <row r="85" spans="2:54" s="40" customFormat="1" ht="9.9499999999999993" customHeight="1" x14ac:dyDescent="0.4">
      <c r="B85" s="60"/>
      <c r="C85" s="450"/>
      <c r="D85" s="451"/>
      <c r="E85" s="395"/>
      <c r="F85" s="396"/>
      <c r="G85" s="399"/>
      <c r="H85" s="400"/>
      <c r="I85" s="401"/>
      <c r="J85" s="401"/>
      <c r="K85" s="401"/>
      <c r="L85" s="401"/>
      <c r="M85" s="67" t="str">
        <f t="shared" si="3"/>
        <v/>
      </c>
      <c r="N85" s="382"/>
      <c r="O85" s="383"/>
      <c r="P85" s="384"/>
      <c r="Q85" s="382"/>
      <c r="R85" s="383"/>
      <c r="S85" s="384"/>
      <c r="T85" s="382"/>
      <c r="U85" s="383"/>
      <c r="V85" s="384"/>
      <c r="W85" s="382"/>
      <c r="X85" s="383"/>
      <c r="Y85" s="384"/>
      <c r="Z85" s="382"/>
      <c r="AA85" s="383"/>
      <c r="AB85" s="383"/>
      <c r="AC85" s="383"/>
      <c r="AD85" s="383"/>
      <c r="AE85" s="383"/>
      <c r="AF85" s="383"/>
      <c r="AG85" s="383"/>
      <c r="AH85" s="383"/>
      <c r="AI85" s="383"/>
      <c r="AJ85" s="383"/>
      <c r="AK85" s="383"/>
      <c r="AL85" s="383"/>
      <c r="AM85" s="383"/>
      <c r="AN85" s="383"/>
      <c r="AO85" s="383"/>
      <c r="AP85" s="383"/>
      <c r="AQ85" s="383"/>
      <c r="AR85" s="383"/>
      <c r="AS85" s="385"/>
      <c r="AT85" s="48"/>
      <c r="AU85" s="69"/>
      <c r="AV85" s="69"/>
      <c r="AW85" s="69"/>
      <c r="AX85" s="69"/>
      <c r="AY85" s="69"/>
      <c r="AZ85" s="69"/>
      <c r="BA85" s="69"/>
      <c r="BB85" s="69"/>
    </row>
    <row r="86" spans="2:54" s="40" customFormat="1" ht="9.9499999999999993" customHeight="1" x14ac:dyDescent="0.4">
      <c r="B86" s="60"/>
      <c r="C86" s="446">
        <f>IF(C90="NA","NA",C81)</f>
        <v>0.625</v>
      </c>
      <c r="D86" s="447"/>
      <c r="E86" s="397">
        <f ca="1">IFERROR(
  _xlfn.LET(
    _xlpm.time_diff,
    MOD(C90 - C86, 1),
    _xlpm.minutes,
    MINUTE(_xlpm.time_diff),
    _xlpm.pausas,
    SUMIF($T86:$V94, "Pausa", $K86:$L94),
    _xlpm.efficiency,
    (1 - _xlpm.pausas / IF(_xlpm.minutes = 0, 60, _xlpm.minutes)),
    _xlpm.result,
    IF(
       _xlpm.minutes = 0,
       ROUND(60 * 60 / cycle_time_welding * _xlpm.efficiency, 0),
       ROUND(_xlpm.minutes * 60 / cycle_time_welding * _xlpm.efficiency, 0)
      ),
    _xlpm.result
  ),
0)</f>
        <v>6</v>
      </c>
      <c r="F86" s="398"/>
      <c r="G86" s="413">
        <v>4</v>
      </c>
      <c r="H86" s="414"/>
      <c r="I86" s="419"/>
      <c r="J86" s="419"/>
      <c r="K86" s="419"/>
      <c r="L86" s="419"/>
      <c r="M86" s="66" t="str">
        <f t="shared" si="3"/>
        <v/>
      </c>
      <c r="N86" s="387"/>
      <c r="O86" s="388"/>
      <c r="P86" s="389"/>
      <c r="Q86" s="387"/>
      <c r="R86" s="388"/>
      <c r="S86" s="389"/>
      <c r="T86" s="387"/>
      <c r="U86" s="388"/>
      <c r="V86" s="389"/>
      <c r="W86" s="387"/>
      <c r="X86" s="388"/>
      <c r="Y86" s="389"/>
      <c r="Z86" s="387"/>
      <c r="AA86" s="388"/>
      <c r="AB86" s="388"/>
      <c r="AC86" s="388"/>
      <c r="AD86" s="388"/>
      <c r="AE86" s="388"/>
      <c r="AF86" s="388"/>
      <c r="AG86" s="388"/>
      <c r="AH86" s="388"/>
      <c r="AI86" s="388"/>
      <c r="AJ86" s="388"/>
      <c r="AK86" s="388"/>
      <c r="AL86" s="388"/>
      <c r="AM86" s="388"/>
      <c r="AN86" s="388"/>
      <c r="AO86" s="388"/>
      <c r="AP86" s="388"/>
      <c r="AQ86" s="388"/>
      <c r="AR86" s="388"/>
      <c r="AS86" s="452"/>
      <c r="AT86" s="48"/>
      <c r="AU86" s="69"/>
      <c r="AV86" s="69"/>
      <c r="AW86" s="69"/>
      <c r="AX86" s="69"/>
      <c r="AY86" s="69"/>
      <c r="AZ86" s="69"/>
      <c r="BA86" s="69"/>
      <c r="BB86" s="69"/>
    </row>
    <row r="87" spans="2:54" s="40" customFormat="1" ht="9.9499999999999993" customHeight="1" x14ac:dyDescent="0.4">
      <c r="B87" s="60"/>
      <c r="C87" s="448"/>
      <c r="D87" s="449"/>
      <c r="E87" s="411"/>
      <c r="F87" s="412"/>
      <c r="G87" s="415"/>
      <c r="H87" s="416"/>
      <c r="I87" s="401"/>
      <c r="J87" s="401"/>
      <c r="K87" s="401"/>
      <c r="L87" s="401"/>
      <c r="M87" s="66" t="str">
        <f t="shared" si="3"/>
        <v/>
      </c>
      <c r="N87" s="379"/>
      <c r="O87" s="380"/>
      <c r="P87" s="386"/>
      <c r="Q87" s="379"/>
      <c r="R87" s="380"/>
      <c r="S87" s="386"/>
      <c r="T87" s="379"/>
      <c r="U87" s="380"/>
      <c r="V87" s="386"/>
      <c r="W87" s="379"/>
      <c r="X87" s="380"/>
      <c r="Y87" s="386"/>
      <c r="Z87" s="379"/>
      <c r="AA87" s="380"/>
      <c r="AB87" s="380"/>
      <c r="AC87" s="380"/>
      <c r="AD87" s="380"/>
      <c r="AE87" s="380"/>
      <c r="AF87" s="380"/>
      <c r="AG87" s="380"/>
      <c r="AH87" s="380"/>
      <c r="AI87" s="380"/>
      <c r="AJ87" s="380"/>
      <c r="AK87" s="380"/>
      <c r="AL87" s="380"/>
      <c r="AM87" s="380"/>
      <c r="AN87" s="380"/>
      <c r="AO87" s="380"/>
      <c r="AP87" s="380"/>
      <c r="AQ87" s="380"/>
      <c r="AR87" s="380"/>
      <c r="AS87" s="381"/>
      <c r="AT87" s="48"/>
      <c r="AU87" s="69"/>
      <c r="AV87" s="69"/>
      <c r="AW87" s="69"/>
      <c r="AX87" s="69"/>
      <c r="AY87" s="69"/>
      <c r="AZ87" s="69"/>
      <c r="BA87" s="69"/>
      <c r="BB87" s="69"/>
    </row>
    <row r="88" spans="2:54" s="40" customFormat="1" ht="9.9499999999999993" customHeight="1" x14ac:dyDescent="0.4">
      <c r="B88" s="60"/>
      <c r="C88" s="448"/>
      <c r="D88" s="449"/>
      <c r="E88" s="411"/>
      <c r="F88" s="412"/>
      <c r="G88" s="415"/>
      <c r="H88" s="416"/>
      <c r="I88" s="401"/>
      <c r="J88" s="401"/>
      <c r="K88" s="401"/>
      <c r="L88" s="401"/>
      <c r="M88" s="66" t="str">
        <f t="shared" si="3"/>
        <v/>
      </c>
      <c r="N88" s="379"/>
      <c r="O88" s="380"/>
      <c r="P88" s="386"/>
      <c r="Q88" s="379"/>
      <c r="R88" s="380"/>
      <c r="S88" s="386"/>
      <c r="T88" s="379"/>
      <c r="U88" s="380"/>
      <c r="V88" s="386"/>
      <c r="W88" s="379"/>
      <c r="X88" s="380"/>
      <c r="Y88" s="386"/>
      <c r="Z88" s="379"/>
      <c r="AA88" s="380"/>
      <c r="AB88" s="380"/>
      <c r="AC88" s="380"/>
      <c r="AD88" s="380"/>
      <c r="AE88" s="380"/>
      <c r="AF88" s="380"/>
      <c r="AG88" s="380"/>
      <c r="AH88" s="380"/>
      <c r="AI88" s="380"/>
      <c r="AJ88" s="380"/>
      <c r="AK88" s="380"/>
      <c r="AL88" s="380"/>
      <c r="AM88" s="380"/>
      <c r="AN88" s="380"/>
      <c r="AO88" s="380"/>
      <c r="AP88" s="380"/>
      <c r="AQ88" s="380"/>
      <c r="AR88" s="380"/>
      <c r="AS88" s="381"/>
      <c r="AT88" s="48"/>
      <c r="AU88" s="69"/>
      <c r="AV88" s="69"/>
      <c r="AW88" s="69"/>
      <c r="AX88" s="69"/>
      <c r="AY88" s="69"/>
      <c r="AZ88" s="69"/>
      <c r="BA88" s="69"/>
      <c r="BB88" s="69"/>
    </row>
    <row r="89" spans="2:54" s="40" customFormat="1" ht="9.9499999999999993" customHeight="1" x14ac:dyDescent="0.4">
      <c r="B89" s="60"/>
      <c r="C89" s="448"/>
      <c r="D89" s="449"/>
      <c r="E89" s="411"/>
      <c r="F89" s="412"/>
      <c r="G89" s="415"/>
      <c r="H89" s="416"/>
      <c r="I89" s="401"/>
      <c r="J89" s="401"/>
      <c r="K89" s="401"/>
      <c r="L89" s="401"/>
      <c r="M89" s="66" t="str">
        <f t="shared" si="3"/>
        <v/>
      </c>
      <c r="N89" s="379"/>
      <c r="O89" s="380"/>
      <c r="P89" s="386"/>
      <c r="Q89" s="379"/>
      <c r="R89" s="380"/>
      <c r="S89" s="386"/>
      <c r="T89" s="379"/>
      <c r="U89" s="380"/>
      <c r="V89" s="386"/>
      <c r="W89" s="379"/>
      <c r="X89" s="380"/>
      <c r="Y89" s="386"/>
      <c r="Z89" s="379"/>
      <c r="AA89" s="380"/>
      <c r="AB89" s="380"/>
      <c r="AC89" s="380"/>
      <c r="AD89" s="380"/>
      <c r="AE89" s="380"/>
      <c r="AF89" s="380"/>
      <c r="AG89" s="380"/>
      <c r="AH89" s="380"/>
      <c r="AI89" s="380"/>
      <c r="AJ89" s="380"/>
      <c r="AK89" s="380"/>
      <c r="AL89" s="380"/>
      <c r="AM89" s="380"/>
      <c r="AN89" s="380"/>
      <c r="AO89" s="380"/>
      <c r="AP89" s="380"/>
      <c r="AQ89" s="380"/>
      <c r="AR89" s="380"/>
      <c r="AS89" s="381"/>
      <c r="AT89" s="48"/>
      <c r="AU89" s="69"/>
      <c r="AV89" s="69"/>
      <c r="AW89" s="69"/>
      <c r="AX89" s="69"/>
      <c r="AY89" s="69"/>
      <c r="AZ89" s="69"/>
      <c r="BA89" s="69"/>
      <c r="BB89" s="69"/>
    </row>
    <row r="90" spans="2:54" s="40" customFormat="1" ht="9.9499999999999993" customHeight="1" x14ac:dyDescent="0.4">
      <c r="B90" s="60"/>
      <c r="C90" s="448">
        <f>IF($Q$5="X", IF(WEEKDAY($E$5) = 2, "NA", TIME(7, 10, 0)), IF($R$5="X", TIME(15, 30, 0), IF($S$5="X", TIME(23, 50, 0), "NA")))</f>
        <v>0.64583333333333337</v>
      </c>
      <c r="D90" s="449"/>
      <c r="E90" s="411"/>
      <c r="F90" s="412"/>
      <c r="G90" s="415"/>
      <c r="H90" s="416"/>
      <c r="I90" s="401"/>
      <c r="J90" s="401"/>
      <c r="K90" s="401"/>
      <c r="L90" s="401"/>
      <c r="M90" s="66" t="str">
        <f t="shared" si="3"/>
        <v/>
      </c>
      <c r="N90" s="379"/>
      <c r="O90" s="380"/>
      <c r="P90" s="386"/>
      <c r="Q90" s="379"/>
      <c r="R90" s="380"/>
      <c r="S90" s="386"/>
      <c r="T90" s="379"/>
      <c r="U90" s="380"/>
      <c r="V90" s="386"/>
      <c r="W90" s="379"/>
      <c r="X90" s="380"/>
      <c r="Y90" s="386"/>
      <c r="Z90" s="379"/>
      <c r="AA90" s="380"/>
      <c r="AB90" s="380"/>
      <c r="AC90" s="380"/>
      <c r="AD90" s="380"/>
      <c r="AE90" s="380"/>
      <c r="AF90" s="380"/>
      <c r="AG90" s="380"/>
      <c r="AH90" s="380"/>
      <c r="AI90" s="380"/>
      <c r="AJ90" s="380"/>
      <c r="AK90" s="380"/>
      <c r="AL90" s="380"/>
      <c r="AM90" s="380"/>
      <c r="AN90" s="380"/>
      <c r="AO90" s="380"/>
      <c r="AP90" s="380"/>
      <c r="AQ90" s="380"/>
      <c r="AR90" s="380"/>
      <c r="AS90" s="381"/>
      <c r="AT90" s="48"/>
      <c r="AU90" s="69"/>
      <c r="AV90" s="69"/>
      <c r="AW90" s="69"/>
      <c r="AX90" s="69"/>
      <c r="AY90" s="69"/>
      <c r="AZ90" s="69"/>
      <c r="BA90" s="69"/>
      <c r="BB90" s="69"/>
    </row>
    <row r="91" spans="2:54" s="40" customFormat="1" ht="9.9499999999999993" customHeight="1" x14ac:dyDescent="0.4">
      <c r="B91" s="60"/>
      <c r="C91" s="448"/>
      <c r="D91" s="449"/>
      <c r="E91" s="411"/>
      <c r="F91" s="412"/>
      <c r="G91" s="415"/>
      <c r="H91" s="416"/>
      <c r="I91" s="401"/>
      <c r="J91" s="401"/>
      <c r="K91" s="401"/>
      <c r="L91" s="401"/>
      <c r="M91" s="66" t="str">
        <f t="shared" si="3"/>
        <v/>
      </c>
      <c r="N91" s="379"/>
      <c r="O91" s="380"/>
      <c r="P91" s="386"/>
      <c r="Q91" s="379"/>
      <c r="R91" s="380"/>
      <c r="S91" s="386"/>
      <c r="T91" s="379"/>
      <c r="U91" s="380"/>
      <c r="V91" s="386"/>
      <c r="W91" s="379"/>
      <c r="X91" s="380"/>
      <c r="Y91" s="386"/>
      <c r="Z91" s="379"/>
      <c r="AA91" s="380"/>
      <c r="AB91" s="380"/>
      <c r="AC91" s="380"/>
      <c r="AD91" s="380"/>
      <c r="AE91" s="380"/>
      <c r="AF91" s="380"/>
      <c r="AG91" s="380"/>
      <c r="AH91" s="380"/>
      <c r="AI91" s="380"/>
      <c r="AJ91" s="380"/>
      <c r="AK91" s="380"/>
      <c r="AL91" s="380"/>
      <c r="AM91" s="380"/>
      <c r="AN91" s="380"/>
      <c r="AO91" s="380"/>
      <c r="AP91" s="380"/>
      <c r="AQ91" s="380"/>
      <c r="AR91" s="380"/>
      <c r="AS91" s="381"/>
      <c r="AT91" s="48"/>
      <c r="AU91" s="69"/>
      <c r="AV91" s="69"/>
      <c r="AW91" s="69"/>
      <c r="AX91" s="69"/>
      <c r="AY91" s="69"/>
      <c r="AZ91" s="69"/>
      <c r="BA91" s="69"/>
      <c r="BB91" s="69"/>
    </row>
    <row r="92" spans="2:54" s="40" customFormat="1" ht="9.9499999999999993" customHeight="1" x14ac:dyDescent="0.4">
      <c r="B92" s="60"/>
      <c r="C92" s="448"/>
      <c r="D92" s="449"/>
      <c r="E92" s="399"/>
      <c r="F92" s="400"/>
      <c r="G92" s="415"/>
      <c r="H92" s="416"/>
      <c r="I92" s="401"/>
      <c r="J92" s="401"/>
      <c r="K92" s="401"/>
      <c r="L92" s="401"/>
      <c r="M92" s="66" t="str">
        <f t="shared" si="3"/>
        <v/>
      </c>
      <c r="N92" s="379"/>
      <c r="O92" s="380"/>
      <c r="P92" s="386"/>
      <c r="Q92" s="379"/>
      <c r="R92" s="380"/>
      <c r="S92" s="386"/>
      <c r="T92" s="379"/>
      <c r="U92" s="380"/>
      <c r="V92" s="386"/>
      <c r="W92" s="379"/>
      <c r="X92" s="380"/>
      <c r="Y92" s="386"/>
      <c r="Z92" s="379"/>
      <c r="AA92" s="380"/>
      <c r="AB92" s="380"/>
      <c r="AC92" s="380"/>
      <c r="AD92" s="380"/>
      <c r="AE92" s="380"/>
      <c r="AF92" s="380"/>
      <c r="AG92" s="380"/>
      <c r="AH92" s="380"/>
      <c r="AI92" s="380"/>
      <c r="AJ92" s="380"/>
      <c r="AK92" s="380"/>
      <c r="AL92" s="380"/>
      <c r="AM92" s="380"/>
      <c r="AN92" s="380"/>
      <c r="AO92" s="380"/>
      <c r="AP92" s="380"/>
      <c r="AQ92" s="380"/>
      <c r="AR92" s="380"/>
      <c r="AS92" s="381"/>
      <c r="AT92" s="48"/>
      <c r="AU92" s="69"/>
      <c r="AV92" s="69"/>
      <c r="AW92" s="69"/>
      <c r="AX92" s="69"/>
      <c r="AY92" s="69"/>
      <c r="AZ92" s="69"/>
      <c r="BA92" s="69"/>
      <c r="BB92" s="69"/>
    </row>
    <row r="93" spans="2:54" s="40" customFormat="1" ht="9.9499999999999993" customHeight="1" x14ac:dyDescent="0.4">
      <c r="B93" s="60"/>
      <c r="C93" s="448"/>
      <c r="D93" s="449"/>
      <c r="E93" s="393">
        <f ca="1">IFERROR(E84 + E86, "")</f>
        <v>92</v>
      </c>
      <c r="F93" s="394"/>
      <c r="G93" s="477">
        <f>G84+G86</f>
        <v>86</v>
      </c>
      <c r="H93" s="478"/>
      <c r="I93" s="481"/>
      <c r="J93" s="401"/>
      <c r="K93" s="401"/>
      <c r="L93" s="401"/>
      <c r="M93" s="66" t="str">
        <f t="shared" si="3"/>
        <v/>
      </c>
      <c r="N93" s="379"/>
      <c r="O93" s="380"/>
      <c r="P93" s="386"/>
      <c r="Q93" s="379"/>
      <c r="R93" s="380"/>
      <c r="S93" s="386"/>
      <c r="T93" s="379"/>
      <c r="U93" s="380"/>
      <c r="V93" s="386"/>
      <c r="W93" s="379"/>
      <c r="X93" s="380"/>
      <c r="Y93" s="386"/>
      <c r="Z93" s="379"/>
      <c r="AA93" s="380"/>
      <c r="AB93" s="380"/>
      <c r="AC93" s="380"/>
      <c r="AD93" s="380"/>
      <c r="AE93" s="380"/>
      <c r="AF93" s="380"/>
      <c r="AG93" s="380"/>
      <c r="AH93" s="380"/>
      <c r="AI93" s="380"/>
      <c r="AJ93" s="380"/>
      <c r="AK93" s="380"/>
      <c r="AL93" s="380"/>
      <c r="AM93" s="380"/>
      <c r="AN93" s="380"/>
      <c r="AO93" s="380"/>
      <c r="AP93" s="380"/>
      <c r="AQ93" s="380"/>
      <c r="AR93" s="380"/>
      <c r="AS93" s="381"/>
      <c r="AT93" s="48"/>
      <c r="AU93" s="69"/>
      <c r="AV93" s="69"/>
      <c r="AW93" s="69"/>
      <c r="AX93" s="69"/>
      <c r="AY93" s="69"/>
      <c r="AZ93" s="69"/>
      <c r="BA93" s="69"/>
      <c r="BB93" s="69"/>
    </row>
    <row r="94" spans="2:54" s="40" customFormat="1" ht="9.9499999999999993" customHeight="1" thickBot="1" x14ac:dyDescent="0.45">
      <c r="B94" s="60"/>
      <c r="C94" s="453"/>
      <c r="D94" s="454"/>
      <c r="E94" s="475"/>
      <c r="F94" s="476"/>
      <c r="G94" s="479"/>
      <c r="H94" s="480"/>
      <c r="I94" s="491"/>
      <c r="J94" s="492"/>
      <c r="K94" s="492"/>
      <c r="L94" s="492"/>
      <c r="M94" s="70" t="str">
        <f t="shared" si="3"/>
        <v/>
      </c>
      <c r="N94" s="493"/>
      <c r="O94" s="494"/>
      <c r="P94" s="495"/>
      <c r="Q94" s="493"/>
      <c r="R94" s="494"/>
      <c r="S94" s="495"/>
      <c r="T94" s="493"/>
      <c r="U94" s="494"/>
      <c r="V94" s="495"/>
      <c r="W94" s="493"/>
      <c r="X94" s="494"/>
      <c r="Y94" s="495"/>
      <c r="Z94" s="493"/>
      <c r="AA94" s="494"/>
      <c r="AB94" s="494"/>
      <c r="AC94" s="494"/>
      <c r="AD94" s="494"/>
      <c r="AE94" s="494"/>
      <c r="AF94" s="494"/>
      <c r="AG94" s="494"/>
      <c r="AH94" s="494"/>
      <c r="AI94" s="494"/>
      <c r="AJ94" s="494"/>
      <c r="AK94" s="494"/>
      <c r="AL94" s="494"/>
      <c r="AM94" s="494"/>
      <c r="AN94" s="494"/>
      <c r="AO94" s="494"/>
      <c r="AP94" s="494"/>
      <c r="AQ94" s="494"/>
      <c r="AR94" s="494"/>
      <c r="AS94" s="496"/>
      <c r="AT94" s="48"/>
      <c r="AU94" s="69"/>
      <c r="AV94" s="69"/>
      <c r="AW94" s="69"/>
      <c r="AX94" s="69"/>
      <c r="AY94" s="69"/>
      <c r="AZ94" s="69"/>
      <c r="BA94" s="69"/>
      <c r="BB94" s="69"/>
    </row>
    <row r="95" spans="2:54" s="40" customFormat="1" ht="9.9499999999999993" customHeight="1" x14ac:dyDescent="0.4">
      <c r="B95" s="60"/>
      <c r="C95" s="55"/>
      <c r="D95" s="55"/>
      <c r="E95" s="55"/>
      <c r="F95" s="56"/>
      <c r="G95" s="503">
        <f ca="1">IFERROR(E93-G93,0)</f>
        <v>6</v>
      </c>
      <c r="H95" s="504"/>
      <c r="I95" s="507">
        <f>SUM(I14:J94)</f>
        <v>40</v>
      </c>
      <c r="J95" s="507"/>
      <c r="K95" s="509">
        <f>SUM(K14:L94)</f>
        <v>50</v>
      </c>
      <c r="L95" s="507"/>
      <c r="M95" s="45"/>
      <c r="N95" s="54"/>
      <c r="O95" s="54"/>
      <c r="P95" s="54"/>
      <c r="Q95" s="54"/>
      <c r="R95" s="54"/>
      <c r="S95" s="54"/>
      <c r="T95" s="54"/>
      <c r="U95" s="54"/>
      <c r="V95" s="54"/>
      <c r="W95" s="54"/>
      <c r="X95" s="54"/>
      <c r="Y95" s="54"/>
      <c r="Z95" s="55"/>
      <c r="AA95" s="55"/>
      <c r="AB95" s="55"/>
      <c r="AC95" s="55"/>
      <c r="AD95" s="55"/>
      <c r="AE95" s="55"/>
      <c r="AF95" s="55"/>
      <c r="AG95" s="55"/>
      <c r="AH95" s="55"/>
      <c r="AI95" s="55"/>
      <c r="AJ95" s="55"/>
      <c r="AK95" s="55"/>
      <c r="AL95" s="55"/>
      <c r="AM95" s="55"/>
      <c r="AN95" s="55"/>
      <c r="AO95" s="55"/>
      <c r="AP95" s="55"/>
      <c r="AQ95" s="55"/>
      <c r="AR95" s="55"/>
      <c r="AS95" s="55"/>
      <c r="AT95" s="48"/>
      <c r="AU95" s="69"/>
      <c r="AV95" s="69"/>
      <c r="AW95" s="69"/>
      <c r="AX95" s="69"/>
      <c r="AY95" s="69"/>
      <c r="AZ95" s="69"/>
      <c r="BA95" s="69"/>
      <c r="BB95" s="69"/>
    </row>
    <row r="96" spans="2:54" ht="9.9499999999999993" customHeight="1" x14ac:dyDescent="0.4">
      <c r="B96" s="71"/>
      <c r="C96" s="54"/>
      <c r="D96" s="54"/>
      <c r="E96" s="54"/>
      <c r="F96" s="54"/>
      <c r="G96" s="505"/>
      <c r="H96" s="506"/>
      <c r="I96" s="508"/>
      <c r="J96" s="508"/>
      <c r="K96" s="508"/>
      <c r="L96" s="508"/>
      <c r="M96" s="45"/>
      <c r="N96" s="497" t="s">
        <v>501</v>
      </c>
      <c r="O96" s="498"/>
      <c r="P96" s="498"/>
      <c r="Q96" s="498"/>
      <c r="R96" s="498"/>
      <c r="S96" s="498"/>
      <c r="T96" s="498"/>
      <c r="U96" s="498"/>
      <c r="V96" s="498"/>
      <c r="W96" s="498"/>
      <c r="X96" s="499"/>
      <c r="Y96" s="54"/>
      <c r="Z96" s="497" t="s">
        <v>264</v>
      </c>
      <c r="AA96" s="498"/>
      <c r="AB96" s="498"/>
      <c r="AC96" s="498"/>
      <c r="AD96" s="498"/>
      <c r="AE96" s="498"/>
      <c r="AF96" s="498"/>
      <c r="AG96" s="498"/>
      <c r="AH96" s="498"/>
      <c r="AI96" s="498"/>
      <c r="AJ96" s="498"/>
      <c r="AK96" s="498"/>
      <c r="AL96" s="498"/>
      <c r="AM96" s="498"/>
      <c r="AN96" s="498"/>
      <c r="AO96" s="498"/>
      <c r="AP96" s="498"/>
      <c r="AQ96" s="498"/>
      <c r="AR96" s="498"/>
      <c r="AS96" s="499"/>
      <c r="AT96" s="68"/>
      <c r="AU96" s="69"/>
      <c r="BA96" s="69"/>
      <c r="BB96" s="69"/>
    </row>
    <row r="97" spans="1:48" ht="9.9499999999999993" customHeight="1" x14ac:dyDescent="0.4">
      <c r="B97" s="71"/>
      <c r="C97" s="54"/>
      <c r="D97" s="54"/>
      <c r="E97" s="54"/>
      <c r="F97" s="54"/>
      <c r="G97" s="54"/>
      <c r="H97" s="54"/>
      <c r="I97" s="54"/>
      <c r="J97" s="54"/>
      <c r="K97" s="54"/>
      <c r="L97" s="54"/>
      <c r="M97" s="72"/>
      <c r="N97" s="500"/>
      <c r="O97" s="501"/>
      <c r="P97" s="501"/>
      <c r="Q97" s="501"/>
      <c r="R97" s="501"/>
      <c r="S97" s="501"/>
      <c r="T97" s="501"/>
      <c r="U97" s="501"/>
      <c r="V97" s="501"/>
      <c r="W97" s="501"/>
      <c r="X97" s="502"/>
      <c r="Y97" s="54"/>
      <c r="Z97" s="500"/>
      <c r="AA97" s="501"/>
      <c r="AB97" s="501"/>
      <c r="AC97" s="501"/>
      <c r="AD97" s="501"/>
      <c r="AE97" s="501"/>
      <c r="AF97" s="501"/>
      <c r="AG97" s="501"/>
      <c r="AH97" s="501"/>
      <c r="AI97" s="501"/>
      <c r="AJ97" s="501"/>
      <c r="AK97" s="501"/>
      <c r="AL97" s="501"/>
      <c r="AM97" s="501"/>
      <c r="AN97" s="501"/>
      <c r="AO97" s="501"/>
      <c r="AP97" s="501"/>
      <c r="AQ97" s="501"/>
      <c r="AR97" s="501"/>
      <c r="AS97" s="502"/>
      <c r="AT97" s="73"/>
      <c r="AU97" s="40"/>
    </row>
    <row r="98" spans="1:48" ht="9.9499999999999993" customHeight="1" x14ac:dyDescent="0.4">
      <c r="B98" s="71"/>
      <c r="C98" s="497" t="s">
        <v>500</v>
      </c>
      <c r="D98" s="498"/>
      <c r="E98" s="498"/>
      <c r="F98" s="498"/>
      <c r="G98" s="498"/>
      <c r="H98" s="498"/>
      <c r="I98" s="498"/>
      <c r="J98" s="498"/>
      <c r="K98" s="498"/>
      <c r="L98" s="499"/>
      <c r="M98" s="74"/>
      <c r="N98" s="54"/>
      <c r="O98" s="54"/>
      <c r="P98" s="54"/>
      <c r="Q98" s="54"/>
      <c r="R98" s="54"/>
      <c r="S98" s="54"/>
      <c r="T98" s="54"/>
      <c r="U98" s="54"/>
      <c r="V98" s="54"/>
      <c r="W98" s="54"/>
      <c r="X98" s="54"/>
      <c r="Y98" s="54"/>
      <c r="Z98" s="152"/>
      <c r="AA98" s="153"/>
      <c r="AB98" s="54"/>
      <c r="AC98" s="54"/>
      <c r="AD98" s="54"/>
      <c r="AE98" s="54"/>
      <c r="AF98" s="54"/>
      <c r="AG98" s="54"/>
      <c r="AH98" s="54"/>
      <c r="AI98" s="54"/>
      <c r="AJ98" s="54"/>
      <c r="AK98" s="54"/>
      <c r="AL98" s="54"/>
      <c r="AM98" s="54"/>
      <c r="AN98" s="54"/>
      <c r="AO98" s="54"/>
      <c r="AP98" s="54"/>
      <c r="AQ98" s="54"/>
      <c r="AR98" s="54"/>
      <c r="AS98" s="54"/>
      <c r="AT98" s="73"/>
      <c r="AU98" s="40"/>
      <c r="AV98" s="40"/>
    </row>
    <row r="99" spans="1:48" ht="9.9499999999999993" customHeight="1" x14ac:dyDescent="0.4">
      <c r="B99" s="71"/>
      <c r="C99" s="500"/>
      <c r="D99" s="501"/>
      <c r="E99" s="501"/>
      <c r="F99" s="501"/>
      <c r="G99" s="501"/>
      <c r="H99" s="501"/>
      <c r="I99" s="501"/>
      <c r="J99" s="501"/>
      <c r="K99" s="501"/>
      <c r="L99" s="502"/>
      <c r="M99" s="74"/>
      <c r="N99" s="455" t="s">
        <v>504</v>
      </c>
      <c r="O99" s="456"/>
      <c r="P99" s="457"/>
      <c r="Q99" s="461">
        <v>3</v>
      </c>
      <c r="R99" s="462"/>
      <c r="S99" s="54"/>
      <c r="T99" s="455" t="s">
        <v>508</v>
      </c>
      <c r="U99" s="456"/>
      <c r="V99" s="457"/>
      <c r="W99" s="510">
        <v>5</v>
      </c>
      <c r="X99" s="511"/>
      <c r="Y99" s="54"/>
      <c r="Z99" s="482" t="s">
        <v>540</v>
      </c>
      <c r="AA99" s="483"/>
      <c r="AB99" s="483"/>
      <c r="AC99" s="483"/>
      <c r="AD99" s="483"/>
      <c r="AE99" s="483"/>
      <c r="AF99" s="483"/>
      <c r="AG99" s="483"/>
      <c r="AH99" s="483"/>
      <c r="AI99" s="483"/>
      <c r="AJ99" s="483"/>
      <c r="AK99" s="483"/>
      <c r="AL99" s="483"/>
      <c r="AM99" s="483"/>
      <c r="AN99" s="483"/>
      <c r="AO99" s="483"/>
      <c r="AP99" s="483"/>
      <c r="AQ99" s="483"/>
      <c r="AR99" s="483"/>
      <c r="AS99" s="484"/>
      <c r="AT99" s="73"/>
      <c r="AU99" s="40"/>
      <c r="AV99" s="40"/>
    </row>
    <row r="100" spans="1:48" ht="9.9499999999999993" customHeight="1" x14ac:dyDescent="0.4">
      <c r="B100" s="71"/>
      <c r="C100" s="54"/>
      <c r="D100" s="54"/>
      <c r="E100" s="54"/>
      <c r="F100" s="54"/>
      <c r="G100" s="54"/>
      <c r="H100" s="54"/>
      <c r="I100" s="54"/>
      <c r="J100" s="54"/>
      <c r="K100" s="54"/>
      <c r="L100" s="54"/>
      <c r="M100" s="54"/>
      <c r="N100" s="458"/>
      <c r="O100" s="459"/>
      <c r="P100" s="460"/>
      <c r="Q100" s="463"/>
      <c r="R100" s="464"/>
      <c r="S100" s="54"/>
      <c r="T100" s="458"/>
      <c r="U100" s="459"/>
      <c r="V100" s="460"/>
      <c r="W100" s="512"/>
      <c r="X100" s="513"/>
      <c r="Y100" s="54"/>
      <c r="Z100" s="485"/>
      <c r="AA100" s="486"/>
      <c r="AB100" s="486"/>
      <c r="AC100" s="486"/>
      <c r="AD100" s="486"/>
      <c r="AE100" s="486"/>
      <c r="AF100" s="486"/>
      <c r="AG100" s="486"/>
      <c r="AH100" s="486"/>
      <c r="AI100" s="486"/>
      <c r="AJ100" s="486"/>
      <c r="AK100" s="486"/>
      <c r="AL100" s="486"/>
      <c r="AM100" s="486"/>
      <c r="AN100" s="486"/>
      <c r="AO100" s="486"/>
      <c r="AP100" s="486"/>
      <c r="AQ100" s="486"/>
      <c r="AR100" s="486"/>
      <c r="AS100" s="487"/>
      <c r="AT100" s="73"/>
      <c r="AU100" s="40"/>
      <c r="AV100" s="40"/>
    </row>
    <row r="101" spans="1:48" ht="9.9499999999999993" customHeight="1" x14ac:dyDescent="0.4">
      <c r="A101" s="75"/>
      <c r="B101" s="71"/>
      <c r="C101" s="465" t="s">
        <v>25</v>
      </c>
      <c r="D101" s="466"/>
      <c r="E101" s="466"/>
      <c r="F101" s="467"/>
      <c r="G101" s="468"/>
      <c r="H101" s="469"/>
      <c r="I101" s="469"/>
      <c r="J101" s="469"/>
      <c r="K101" s="469"/>
      <c r="L101" s="470"/>
      <c r="M101" s="55"/>
      <c r="N101" s="55"/>
      <c r="O101" s="54"/>
      <c r="P101" s="54"/>
      <c r="Q101" s="54"/>
      <c r="R101" s="54"/>
      <c r="S101" s="54"/>
      <c r="T101" s="54"/>
      <c r="U101" s="54"/>
      <c r="V101" s="54"/>
      <c r="W101" s="54"/>
      <c r="X101" s="54"/>
      <c r="Y101" s="54"/>
      <c r="Z101" s="485"/>
      <c r="AA101" s="486"/>
      <c r="AB101" s="486"/>
      <c r="AC101" s="486"/>
      <c r="AD101" s="486"/>
      <c r="AE101" s="486"/>
      <c r="AF101" s="486"/>
      <c r="AG101" s="486"/>
      <c r="AH101" s="486"/>
      <c r="AI101" s="486"/>
      <c r="AJ101" s="486"/>
      <c r="AK101" s="486"/>
      <c r="AL101" s="486"/>
      <c r="AM101" s="486"/>
      <c r="AN101" s="486"/>
      <c r="AO101" s="486"/>
      <c r="AP101" s="486"/>
      <c r="AQ101" s="486"/>
      <c r="AR101" s="486"/>
      <c r="AS101" s="487"/>
      <c r="AT101" s="73"/>
      <c r="AU101" s="76"/>
      <c r="AV101" s="40"/>
    </row>
    <row r="102" spans="1:48" ht="9.9499999999999993" customHeight="1" x14ac:dyDescent="0.4">
      <c r="B102" s="71"/>
      <c r="C102" s="77"/>
      <c r="D102" s="55"/>
      <c r="E102" s="55"/>
      <c r="F102" s="55"/>
      <c r="G102" s="55"/>
      <c r="H102" s="78"/>
      <c r="I102" s="55"/>
      <c r="J102" s="44"/>
      <c r="K102" s="44"/>
      <c r="L102" s="79"/>
      <c r="M102" s="55"/>
      <c r="N102" s="455" t="s">
        <v>505</v>
      </c>
      <c r="O102" s="456"/>
      <c r="P102" s="457"/>
      <c r="Q102" s="510">
        <v>2</v>
      </c>
      <c r="R102" s="511"/>
      <c r="S102" s="54"/>
      <c r="T102" s="455" t="s">
        <v>0</v>
      </c>
      <c r="U102" s="456"/>
      <c r="V102" s="457"/>
      <c r="W102" s="471">
        <f ca="1">_xlfn.LET(
  _xlpm.shift_time,
  IF(AND(Q6="X",WEEKDAY(E6,2)=2),430, IF(AND(Q6="X",WEEKDAY(E6,2)&lt;&gt;2),440,500)),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_xlpm.availability,
  (_xlpm.planned_operating_time - unplanned_downtime) / _xlpm.planned_operating_time,
  _xlpm.performance,
  ((cycle_time_welding/60) * total_produced)/(_xlpm.planned_operating_time - unplanned_downtime),
  _xlpm.quality,
  (total_produced - nok_parts)/total_produced,
  _xlpm.formula_oee,
  IFERROR(_xlpm.quality * _xlpm.performance * _xlpm.availability,0),
  _xlpm.formula_oee
)</f>
        <v>0.97140740740740739</v>
      </c>
      <c r="X102" s="472"/>
      <c r="Y102" s="54"/>
      <c r="Z102" s="485"/>
      <c r="AA102" s="486"/>
      <c r="AB102" s="486"/>
      <c r="AC102" s="486"/>
      <c r="AD102" s="486"/>
      <c r="AE102" s="486"/>
      <c r="AF102" s="486"/>
      <c r="AG102" s="486"/>
      <c r="AH102" s="486"/>
      <c r="AI102" s="486"/>
      <c r="AJ102" s="486"/>
      <c r="AK102" s="486"/>
      <c r="AL102" s="486"/>
      <c r="AM102" s="486"/>
      <c r="AN102" s="486"/>
      <c r="AO102" s="486"/>
      <c r="AP102" s="486"/>
      <c r="AQ102" s="486"/>
      <c r="AR102" s="486"/>
      <c r="AS102" s="487"/>
      <c r="AT102" s="73"/>
      <c r="AU102" s="40"/>
      <c r="AV102" s="40"/>
    </row>
    <row r="103" spans="1:48" ht="9.9499999999999993" customHeight="1" x14ac:dyDescent="0.4">
      <c r="B103" s="71"/>
      <c r="C103" s="465" t="s">
        <v>25</v>
      </c>
      <c r="D103" s="466"/>
      <c r="E103" s="466"/>
      <c r="F103" s="467"/>
      <c r="G103" s="468"/>
      <c r="H103" s="469"/>
      <c r="I103" s="469"/>
      <c r="J103" s="469"/>
      <c r="K103" s="469"/>
      <c r="L103" s="470"/>
      <c r="M103" s="55"/>
      <c r="N103" s="458"/>
      <c r="O103" s="459"/>
      <c r="P103" s="460"/>
      <c r="Q103" s="512"/>
      <c r="R103" s="513"/>
      <c r="S103" s="54"/>
      <c r="T103" s="458"/>
      <c r="U103" s="459"/>
      <c r="V103" s="460"/>
      <c r="W103" s="473"/>
      <c r="X103" s="474"/>
      <c r="Y103" s="54"/>
      <c r="Z103" s="485"/>
      <c r="AA103" s="486"/>
      <c r="AB103" s="486"/>
      <c r="AC103" s="486"/>
      <c r="AD103" s="486"/>
      <c r="AE103" s="486"/>
      <c r="AF103" s="486"/>
      <c r="AG103" s="486"/>
      <c r="AH103" s="486"/>
      <c r="AI103" s="486"/>
      <c r="AJ103" s="486"/>
      <c r="AK103" s="486"/>
      <c r="AL103" s="486"/>
      <c r="AM103" s="486"/>
      <c r="AN103" s="486"/>
      <c r="AO103" s="486"/>
      <c r="AP103" s="486"/>
      <c r="AQ103" s="486"/>
      <c r="AR103" s="486"/>
      <c r="AS103" s="487"/>
      <c r="AT103" s="73"/>
      <c r="AU103" s="40"/>
      <c r="AV103" s="40"/>
    </row>
    <row r="104" spans="1:48" ht="9.9499999999999993" customHeight="1" x14ac:dyDescent="0.4">
      <c r="B104" s="71"/>
      <c r="C104" s="54"/>
      <c r="D104" s="54"/>
      <c r="E104" s="55"/>
      <c r="F104" s="55"/>
      <c r="G104" s="55"/>
      <c r="H104" s="78"/>
      <c r="I104" s="55"/>
      <c r="J104" s="44"/>
      <c r="K104" s="44"/>
      <c r="L104" s="79"/>
      <c r="M104" s="55"/>
      <c r="N104" s="54"/>
      <c r="O104" s="54"/>
      <c r="P104" s="54"/>
      <c r="Q104" s="54"/>
      <c r="R104" s="54"/>
      <c r="S104" s="54"/>
      <c r="T104" s="54"/>
      <c r="U104" s="54"/>
      <c r="V104" s="54"/>
      <c r="W104" s="54"/>
      <c r="X104" s="54"/>
      <c r="Y104" s="54"/>
      <c r="Z104" s="485"/>
      <c r="AA104" s="486"/>
      <c r="AB104" s="486"/>
      <c r="AC104" s="486"/>
      <c r="AD104" s="486"/>
      <c r="AE104" s="486"/>
      <c r="AF104" s="486"/>
      <c r="AG104" s="486"/>
      <c r="AH104" s="486"/>
      <c r="AI104" s="486"/>
      <c r="AJ104" s="486"/>
      <c r="AK104" s="486"/>
      <c r="AL104" s="486"/>
      <c r="AM104" s="486"/>
      <c r="AN104" s="486"/>
      <c r="AO104" s="486"/>
      <c r="AP104" s="486"/>
      <c r="AQ104" s="486"/>
      <c r="AR104" s="486"/>
      <c r="AS104" s="487"/>
      <c r="AT104" s="73"/>
      <c r="AU104" s="40"/>
      <c r="AV104" s="40"/>
    </row>
    <row r="105" spans="1:48" ht="9.9499999999999993" customHeight="1" x14ac:dyDescent="0.4">
      <c r="B105" s="71"/>
      <c r="C105" s="465" t="s">
        <v>25</v>
      </c>
      <c r="D105" s="466"/>
      <c r="E105" s="466"/>
      <c r="F105" s="467"/>
      <c r="G105" s="468"/>
      <c r="H105" s="469"/>
      <c r="I105" s="469"/>
      <c r="J105" s="469"/>
      <c r="K105" s="469"/>
      <c r="L105" s="470"/>
      <c r="M105" s="55"/>
      <c r="N105" s="455" t="s">
        <v>21</v>
      </c>
      <c r="O105" s="456"/>
      <c r="P105" s="457"/>
      <c r="Q105" s="514">
        <f>IFERROR(IF(total_produced&gt;0,nok_parts/total_produced,0),0)</f>
        <v>3.4883720930232558E-2</v>
      </c>
      <c r="R105" s="515"/>
      <c r="S105" s="54"/>
      <c r="T105" s="455" t="s">
        <v>507</v>
      </c>
      <c r="U105" s="456"/>
      <c r="V105" s="457"/>
      <c r="W105" s="542">
        <f ca="1">_xlfn.LET(
  _xlpm.shift_time,
  IF(AND(Q5="X",WEEKDAY(E5,2)=2),430, IF(AND(Q5="X",WEEKDAY(E5,2)&lt;&gt;2),440,500)),
  _xlpm.downtime_breaks,
  SUMIF($T$14:$V$94,"Break",$K$14:$L$94),
  _xlpm.downtime_no_production,
  SUMIF($T$14:$V$94,"No_Production",$K$14:$L$94),
  _xlpm.planned_downtime,
  planned_downtime - _xlpm.downtime_no_production - _xlpm.downtime_breaks,
  _xlpm.total_downtime,
  _xlpm.downtime_no_production + _xlpm.downtime_breaks + unplanned_downtime + _xlpm.planned_downtime,
  _xlpm.planned_operating_time,
  _xlpm.shift_time - _xlpm.planned_downtime - _xlpm.downtime_no_production - _xlpm.downtime_breaks,
  _xlpm.productivity,
  (total_produced - nok_parts) / ((_xlpm.planned_operating_time - _xlpm.planned_downtime) * (number_workers / 60)),
  IF(
    _xlpm.productivity &lt; 0,
    0,
    IFERROR(_xlpm.productivity,0)
  )
)</f>
        <v>5.5333333333333332</v>
      </c>
      <c r="X105" s="543"/>
      <c r="Y105" s="54"/>
      <c r="Z105" s="485"/>
      <c r="AA105" s="486"/>
      <c r="AB105" s="486"/>
      <c r="AC105" s="486"/>
      <c r="AD105" s="486"/>
      <c r="AE105" s="486"/>
      <c r="AF105" s="486"/>
      <c r="AG105" s="486"/>
      <c r="AH105" s="486"/>
      <c r="AI105" s="486"/>
      <c r="AJ105" s="486"/>
      <c r="AK105" s="486"/>
      <c r="AL105" s="486"/>
      <c r="AM105" s="486"/>
      <c r="AN105" s="486"/>
      <c r="AO105" s="486"/>
      <c r="AP105" s="486"/>
      <c r="AQ105" s="486"/>
      <c r="AR105" s="486"/>
      <c r="AS105" s="487"/>
      <c r="AT105" s="73"/>
    </row>
    <row r="106" spans="1:48" ht="9.9499999999999993" customHeight="1" x14ac:dyDescent="0.4">
      <c r="B106" s="71"/>
      <c r="C106" s="77"/>
      <c r="D106" s="55"/>
      <c r="E106" s="55"/>
      <c r="F106" s="55"/>
      <c r="G106" s="55"/>
      <c r="H106" s="78"/>
      <c r="I106" s="55"/>
      <c r="J106" s="44"/>
      <c r="K106" s="44"/>
      <c r="L106" s="79"/>
      <c r="M106" s="55"/>
      <c r="N106" s="458"/>
      <c r="O106" s="459"/>
      <c r="P106" s="460"/>
      <c r="Q106" s="516"/>
      <c r="R106" s="517"/>
      <c r="S106" s="54"/>
      <c r="T106" s="458"/>
      <c r="U106" s="459"/>
      <c r="V106" s="460"/>
      <c r="W106" s="544"/>
      <c r="X106" s="545"/>
      <c r="Y106" s="54"/>
      <c r="Z106" s="485"/>
      <c r="AA106" s="486"/>
      <c r="AB106" s="486"/>
      <c r="AC106" s="486"/>
      <c r="AD106" s="486"/>
      <c r="AE106" s="486"/>
      <c r="AF106" s="486"/>
      <c r="AG106" s="486"/>
      <c r="AH106" s="486"/>
      <c r="AI106" s="486"/>
      <c r="AJ106" s="486"/>
      <c r="AK106" s="486"/>
      <c r="AL106" s="486"/>
      <c r="AM106" s="486"/>
      <c r="AN106" s="486"/>
      <c r="AO106" s="486"/>
      <c r="AP106" s="486"/>
      <c r="AQ106" s="486"/>
      <c r="AR106" s="486"/>
      <c r="AS106" s="487"/>
      <c r="AT106" s="73"/>
    </row>
    <row r="107" spans="1:48" ht="9.9499999999999993" customHeight="1" x14ac:dyDescent="0.4">
      <c r="B107" s="71"/>
      <c r="C107" s="465" t="s">
        <v>25</v>
      </c>
      <c r="D107" s="466"/>
      <c r="E107" s="466"/>
      <c r="F107" s="467"/>
      <c r="G107" s="468"/>
      <c r="H107" s="469"/>
      <c r="I107" s="469"/>
      <c r="J107" s="469"/>
      <c r="K107" s="469"/>
      <c r="L107" s="470"/>
      <c r="M107" s="55"/>
      <c r="N107" s="55"/>
      <c r="O107" s="54"/>
      <c r="P107" s="54"/>
      <c r="Q107" s="54"/>
      <c r="R107" s="54"/>
      <c r="S107" s="54"/>
      <c r="T107" s="54"/>
      <c r="U107" s="54"/>
      <c r="V107" s="54"/>
      <c r="W107" s="54"/>
      <c r="X107" s="54"/>
      <c r="Y107" s="54"/>
      <c r="Z107" s="485"/>
      <c r="AA107" s="486"/>
      <c r="AB107" s="486"/>
      <c r="AC107" s="486"/>
      <c r="AD107" s="486"/>
      <c r="AE107" s="486"/>
      <c r="AF107" s="486"/>
      <c r="AG107" s="486"/>
      <c r="AH107" s="486"/>
      <c r="AI107" s="486"/>
      <c r="AJ107" s="486"/>
      <c r="AK107" s="486"/>
      <c r="AL107" s="486"/>
      <c r="AM107" s="486"/>
      <c r="AN107" s="486"/>
      <c r="AO107" s="486"/>
      <c r="AP107" s="486"/>
      <c r="AQ107" s="486"/>
      <c r="AR107" s="486"/>
      <c r="AS107" s="487"/>
      <c r="AT107" s="73"/>
    </row>
    <row r="108" spans="1:48" ht="9.9499999999999993" customHeight="1" x14ac:dyDescent="0.4">
      <c r="B108" s="71"/>
      <c r="C108" s="55"/>
      <c r="D108" s="55"/>
      <c r="E108" s="55"/>
      <c r="F108" s="55"/>
      <c r="G108" s="55"/>
      <c r="H108" s="78"/>
      <c r="I108" s="55"/>
      <c r="J108" s="44"/>
      <c r="K108" s="44"/>
      <c r="L108" s="79"/>
      <c r="M108" s="55"/>
      <c r="N108" s="455" t="s">
        <v>22</v>
      </c>
      <c r="O108" s="456"/>
      <c r="P108" s="457"/>
      <c r="Q108" s="518">
        <f>IFERROR((total_produced-reworked_parts)/total_produced,0)</f>
        <v>0.94186046511627908</v>
      </c>
      <c r="R108" s="519"/>
      <c r="S108" s="54"/>
      <c r="T108" s="536" t="s">
        <v>502</v>
      </c>
      <c r="U108" s="537"/>
      <c r="V108" s="538"/>
      <c r="W108" s="471">
        <f ca="1">_xlfn.LET(
  _xlpm.shift_time,
  IF(AND(Q5="X",WEEKDAY(E5,2)=2),430,IF(AND(Q5="X",WEEKDAY(E5,2)&lt;&gt;2),440,IF(AND(Q5="",R5="",S5=""),0,500))),
  _xlpm.break_downtime,
  SUMIF($T$14:$V$94,"Break",$K$14:$L$94),
  _xlpm.ideal_time,
  _xlpm.shift_time - _xlpm.break_downtime,
  _xlpm.efficiency_formula,
  IFERROR(_xlpm.ideal_time/_xlpm.shift_time,0),
  _xlpm.efficiency_formula
)</f>
        <v>0.9</v>
      </c>
      <c r="X108" s="472"/>
      <c r="Y108" s="54"/>
      <c r="Z108" s="485"/>
      <c r="AA108" s="486"/>
      <c r="AB108" s="486"/>
      <c r="AC108" s="486"/>
      <c r="AD108" s="486"/>
      <c r="AE108" s="486"/>
      <c r="AF108" s="486"/>
      <c r="AG108" s="486"/>
      <c r="AH108" s="486"/>
      <c r="AI108" s="486"/>
      <c r="AJ108" s="486"/>
      <c r="AK108" s="486"/>
      <c r="AL108" s="486"/>
      <c r="AM108" s="486"/>
      <c r="AN108" s="486"/>
      <c r="AO108" s="486"/>
      <c r="AP108" s="486"/>
      <c r="AQ108" s="486"/>
      <c r="AR108" s="486"/>
      <c r="AS108" s="487"/>
      <c r="AT108" s="73"/>
    </row>
    <row r="109" spans="1:48" ht="9.9499999999999993" customHeight="1" x14ac:dyDescent="0.4">
      <c r="B109" s="71"/>
      <c r="C109" s="465" t="s">
        <v>25</v>
      </c>
      <c r="D109" s="466"/>
      <c r="E109" s="466"/>
      <c r="F109" s="467"/>
      <c r="G109" s="468"/>
      <c r="H109" s="469"/>
      <c r="I109" s="469"/>
      <c r="J109" s="469"/>
      <c r="K109" s="469"/>
      <c r="L109" s="470"/>
      <c r="M109" s="55"/>
      <c r="N109" s="458"/>
      <c r="O109" s="459"/>
      <c r="P109" s="460"/>
      <c r="Q109" s="520"/>
      <c r="R109" s="521"/>
      <c r="S109" s="54"/>
      <c r="T109" s="539"/>
      <c r="U109" s="540"/>
      <c r="V109" s="541"/>
      <c r="W109" s="473"/>
      <c r="X109" s="474"/>
      <c r="Y109" s="54"/>
      <c r="Z109" s="485"/>
      <c r="AA109" s="486"/>
      <c r="AB109" s="486"/>
      <c r="AC109" s="486"/>
      <c r="AD109" s="486"/>
      <c r="AE109" s="486"/>
      <c r="AF109" s="486"/>
      <c r="AG109" s="486"/>
      <c r="AH109" s="486"/>
      <c r="AI109" s="486"/>
      <c r="AJ109" s="486"/>
      <c r="AK109" s="486"/>
      <c r="AL109" s="486"/>
      <c r="AM109" s="486"/>
      <c r="AN109" s="486"/>
      <c r="AO109" s="486"/>
      <c r="AP109" s="486"/>
      <c r="AQ109" s="486"/>
      <c r="AR109" s="486"/>
      <c r="AS109" s="487"/>
      <c r="AT109" s="73"/>
    </row>
    <row r="110" spans="1:48" ht="9.9499999999999993" customHeight="1" x14ac:dyDescent="0.4">
      <c r="B110" s="71"/>
      <c r="C110" s="77"/>
      <c r="D110" s="55"/>
      <c r="E110" s="55"/>
      <c r="F110" s="55"/>
      <c r="G110" s="55"/>
      <c r="H110" s="78"/>
      <c r="I110" s="55"/>
      <c r="J110" s="44"/>
      <c r="K110" s="44"/>
      <c r="L110" s="79"/>
      <c r="M110" s="55"/>
      <c r="N110" s="54"/>
      <c r="O110" s="54"/>
      <c r="P110" s="54"/>
      <c r="Q110" s="54"/>
      <c r="R110" s="54"/>
      <c r="S110" s="54"/>
      <c r="T110" s="54"/>
      <c r="U110" s="54"/>
      <c r="V110" s="54"/>
      <c r="W110" s="54"/>
      <c r="X110" s="54"/>
      <c r="Y110" s="54"/>
      <c r="Z110" s="485"/>
      <c r="AA110" s="486"/>
      <c r="AB110" s="486"/>
      <c r="AC110" s="486"/>
      <c r="AD110" s="486"/>
      <c r="AE110" s="486"/>
      <c r="AF110" s="486"/>
      <c r="AG110" s="486"/>
      <c r="AH110" s="486"/>
      <c r="AI110" s="486"/>
      <c r="AJ110" s="486"/>
      <c r="AK110" s="486"/>
      <c r="AL110" s="486"/>
      <c r="AM110" s="486"/>
      <c r="AN110" s="486"/>
      <c r="AO110" s="486"/>
      <c r="AP110" s="486"/>
      <c r="AQ110" s="486"/>
      <c r="AR110" s="486"/>
      <c r="AS110" s="487"/>
      <c r="AT110" s="73"/>
    </row>
    <row r="111" spans="1:48" ht="9.9499999999999993" customHeight="1" x14ac:dyDescent="0.4">
      <c r="B111" s="71"/>
      <c r="C111" s="465" t="s">
        <v>25</v>
      </c>
      <c r="D111" s="466"/>
      <c r="E111" s="466"/>
      <c r="F111" s="467"/>
      <c r="G111" s="468"/>
      <c r="H111" s="469"/>
      <c r="I111" s="469"/>
      <c r="J111" s="469"/>
      <c r="K111" s="469"/>
      <c r="L111" s="470"/>
      <c r="M111" s="72"/>
      <c r="N111" s="455" t="s">
        <v>1</v>
      </c>
      <c r="O111" s="456"/>
      <c r="P111" s="457"/>
      <c r="Q111" s="522">
        <f ca="1">IF(total_produced = 0, 0, unplanned_downtime + planned_downtime - SUMIF($T$14:$V$94, "No_Production", $M$14:$M$94))</f>
        <v>90</v>
      </c>
      <c r="R111" s="523"/>
      <c r="S111" s="54"/>
      <c r="T111" s="536" t="s">
        <v>31</v>
      </c>
      <c r="U111" s="537"/>
      <c r="V111" s="538"/>
      <c r="W111" s="532" cm="1">
        <f t="array" aca="1" ref="W111" ca="1">IFERROR(INDIRECT(nome_kpis_sol1 &amp; "cycle_time"),"-")</f>
        <v>316</v>
      </c>
      <c r="X111" s="533"/>
      <c r="Y111" s="54"/>
      <c r="Z111" s="485"/>
      <c r="AA111" s="486"/>
      <c r="AB111" s="486"/>
      <c r="AC111" s="486"/>
      <c r="AD111" s="486"/>
      <c r="AE111" s="486"/>
      <c r="AF111" s="486"/>
      <c r="AG111" s="486"/>
      <c r="AH111" s="486"/>
      <c r="AI111" s="486"/>
      <c r="AJ111" s="486"/>
      <c r="AK111" s="486"/>
      <c r="AL111" s="486"/>
      <c r="AM111" s="486"/>
      <c r="AN111" s="486"/>
      <c r="AO111" s="486"/>
      <c r="AP111" s="486"/>
      <c r="AQ111" s="486"/>
      <c r="AR111" s="486"/>
      <c r="AS111" s="487"/>
      <c r="AT111" s="80"/>
    </row>
    <row r="112" spans="1:48" ht="9.9499999999999993" customHeight="1" x14ac:dyDescent="0.4">
      <c r="B112" s="54"/>
      <c r="C112" s="54"/>
      <c r="D112" s="54"/>
      <c r="E112" s="54"/>
      <c r="F112" s="81"/>
      <c r="G112" s="54"/>
      <c r="H112" s="54"/>
      <c r="I112" s="54"/>
      <c r="J112" s="54"/>
      <c r="K112" s="54"/>
      <c r="L112" s="54"/>
      <c r="M112" s="72"/>
      <c r="N112" s="458"/>
      <c r="O112" s="459"/>
      <c r="P112" s="460"/>
      <c r="Q112" s="524"/>
      <c r="R112" s="525"/>
      <c r="S112" s="54"/>
      <c r="T112" s="539"/>
      <c r="U112" s="540"/>
      <c r="V112" s="541"/>
      <c r="W112" s="534"/>
      <c r="X112" s="535"/>
      <c r="Y112" s="54"/>
      <c r="Z112" s="485"/>
      <c r="AA112" s="486"/>
      <c r="AB112" s="486"/>
      <c r="AC112" s="486"/>
      <c r="AD112" s="486"/>
      <c r="AE112" s="486"/>
      <c r="AF112" s="486"/>
      <c r="AG112" s="486"/>
      <c r="AH112" s="486"/>
      <c r="AI112" s="486"/>
      <c r="AJ112" s="486"/>
      <c r="AK112" s="486"/>
      <c r="AL112" s="486"/>
      <c r="AM112" s="486"/>
      <c r="AN112" s="486"/>
      <c r="AO112" s="486"/>
      <c r="AP112" s="486"/>
      <c r="AQ112" s="486"/>
      <c r="AR112" s="486"/>
      <c r="AS112" s="487"/>
      <c r="AT112" s="54"/>
    </row>
    <row r="113" spans="2:46" ht="9.9499999999999993" customHeight="1" x14ac:dyDescent="0.4">
      <c r="B113" s="54"/>
      <c r="C113" s="465" t="s">
        <v>25</v>
      </c>
      <c r="D113" s="466"/>
      <c r="E113" s="466"/>
      <c r="F113" s="467"/>
      <c r="G113" s="468"/>
      <c r="H113" s="469"/>
      <c r="I113" s="469"/>
      <c r="J113" s="469"/>
      <c r="K113" s="469"/>
      <c r="L113" s="470"/>
      <c r="M113" s="72"/>
      <c r="N113" s="54"/>
      <c r="O113" s="54"/>
      <c r="P113" s="54"/>
      <c r="Q113" s="54"/>
      <c r="R113" s="54"/>
      <c r="S113" s="54"/>
      <c r="T113" s="54"/>
      <c r="U113" s="54"/>
      <c r="V113" s="54"/>
      <c r="W113" s="54"/>
      <c r="X113" s="54"/>
      <c r="Y113" s="54"/>
      <c r="Z113" s="485"/>
      <c r="AA113" s="486"/>
      <c r="AB113" s="486"/>
      <c r="AC113" s="486"/>
      <c r="AD113" s="486"/>
      <c r="AE113" s="486"/>
      <c r="AF113" s="486"/>
      <c r="AG113" s="486"/>
      <c r="AH113" s="486"/>
      <c r="AI113" s="486"/>
      <c r="AJ113" s="486"/>
      <c r="AK113" s="486"/>
      <c r="AL113" s="486"/>
      <c r="AM113" s="486"/>
      <c r="AN113" s="486"/>
      <c r="AO113" s="486"/>
      <c r="AP113" s="486"/>
      <c r="AQ113" s="486"/>
      <c r="AR113" s="486"/>
      <c r="AS113" s="487"/>
      <c r="AT113" s="54"/>
    </row>
    <row r="114" spans="2:46" ht="9.9499999999999993" customHeight="1" x14ac:dyDescent="0.4">
      <c r="B114" s="54"/>
      <c r="C114" s="54"/>
      <c r="D114" s="54"/>
      <c r="E114" s="54"/>
      <c r="F114" s="81"/>
      <c r="G114" s="54"/>
      <c r="H114" s="54"/>
      <c r="I114" s="54"/>
      <c r="J114" s="54"/>
      <c r="K114" s="54"/>
      <c r="L114" s="54"/>
      <c r="M114" s="72"/>
      <c r="N114" s="455" t="s">
        <v>506</v>
      </c>
      <c r="O114" s="456"/>
      <c r="P114" s="457"/>
      <c r="Q114" s="526" t="str">
        <f>SUBSTITUTE(
  IF(
    OR(E12="",E12=" ",E12="-",E12="- ",E12=" -",E12=" - ",E12=0),
    SUBSTITUTE(LOWER(AH2)," ","_") &amp; "_",
    SUBSTITUTE(LOWER(AH2)," ","_") &amp; "_" &amp; LOWER(E12) &amp; "_"
  ),
  "-",""
)</f>
        <v>mercedez_gle_580_rear_bumper_line_1_a_</v>
      </c>
      <c r="R114" s="527"/>
      <c r="S114" s="527"/>
      <c r="T114" s="527"/>
      <c r="U114" s="527"/>
      <c r="V114" s="527"/>
      <c r="W114" s="527"/>
      <c r="X114" s="528"/>
      <c r="Y114" s="54"/>
      <c r="Z114" s="485"/>
      <c r="AA114" s="486"/>
      <c r="AB114" s="486"/>
      <c r="AC114" s="486"/>
      <c r="AD114" s="486"/>
      <c r="AE114" s="486"/>
      <c r="AF114" s="486"/>
      <c r="AG114" s="486"/>
      <c r="AH114" s="486"/>
      <c r="AI114" s="486"/>
      <c r="AJ114" s="486"/>
      <c r="AK114" s="486"/>
      <c r="AL114" s="486"/>
      <c r="AM114" s="486"/>
      <c r="AN114" s="486"/>
      <c r="AO114" s="486"/>
      <c r="AP114" s="486"/>
      <c r="AQ114" s="486"/>
      <c r="AR114" s="486"/>
      <c r="AS114" s="487"/>
      <c r="AT114" s="54"/>
    </row>
    <row r="115" spans="2:46" ht="9.9499999999999993" customHeight="1" x14ac:dyDescent="0.4">
      <c r="B115" s="54"/>
      <c r="C115" s="465" t="s">
        <v>25</v>
      </c>
      <c r="D115" s="466"/>
      <c r="E115" s="466"/>
      <c r="F115" s="467"/>
      <c r="G115" s="468"/>
      <c r="H115" s="469"/>
      <c r="I115" s="469"/>
      <c r="J115" s="469"/>
      <c r="K115" s="469"/>
      <c r="L115" s="470"/>
      <c r="M115" s="72"/>
      <c r="N115" s="458"/>
      <c r="O115" s="459"/>
      <c r="P115" s="460"/>
      <c r="Q115" s="529"/>
      <c r="R115" s="530"/>
      <c r="S115" s="530"/>
      <c r="T115" s="530"/>
      <c r="U115" s="530"/>
      <c r="V115" s="530"/>
      <c r="W115" s="530"/>
      <c r="X115" s="531"/>
      <c r="Y115" s="54"/>
      <c r="Z115" s="488"/>
      <c r="AA115" s="489"/>
      <c r="AB115" s="489"/>
      <c r="AC115" s="489"/>
      <c r="AD115" s="489"/>
      <c r="AE115" s="489"/>
      <c r="AF115" s="489"/>
      <c r="AG115" s="489"/>
      <c r="AH115" s="489"/>
      <c r="AI115" s="489"/>
      <c r="AJ115" s="489"/>
      <c r="AK115" s="489"/>
      <c r="AL115" s="489"/>
      <c r="AM115" s="489"/>
      <c r="AN115" s="489"/>
      <c r="AO115" s="489"/>
      <c r="AP115" s="489"/>
      <c r="AQ115" s="489"/>
      <c r="AR115" s="489"/>
      <c r="AS115" s="490"/>
      <c r="AT115" s="54"/>
    </row>
    <row r="116" spans="2:46" ht="9.9499999999999993" customHeight="1" x14ac:dyDescent="0.4">
      <c r="B116" s="54"/>
      <c r="C116" s="82"/>
      <c r="D116" s="54"/>
      <c r="E116" s="54"/>
      <c r="F116" s="54"/>
      <c r="G116" s="54"/>
      <c r="H116" s="54"/>
      <c r="I116" s="54"/>
      <c r="J116" s="54"/>
      <c r="K116" s="54"/>
      <c r="L116" s="54"/>
      <c r="M116" s="72"/>
      <c r="N116" s="54"/>
      <c r="O116" s="54"/>
      <c r="P116" s="54"/>
      <c r="Q116" s="54"/>
      <c r="R116" s="54"/>
      <c r="S116" s="54"/>
      <c r="T116" s="54"/>
      <c r="U116" s="54"/>
      <c r="V116" s="54"/>
      <c r="W116" s="54"/>
      <c r="X116" s="54"/>
      <c r="Y116" s="54"/>
      <c r="Z116" s="54"/>
      <c r="AA116" s="54"/>
      <c r="AB116" s="54"/>
      <c r="AC116" s="54"/>
      <c r="AD116" s="54"/>
      <c r="AE116" s="54"/>
      <c r="AF116" s="54"/>
      <c r="AG116" s="54"/>
      <c r="AH116" s="54"/>
      <c r="AI116" s="54"/>
      <c r="AJ116" s="54"/>
      <c r="AK116" s="54"/>
      <c r="AL116" s="54"/>
      <c r="AM116" s="54"/>
      <c r="AN116" s="54"/>
      <c r="AO116" s="54"/>
      <c r="AP116" s="54"/>
      <c r="AQ116" s="54"/>
      <c r="AR116" s="54"/>
      <c r="AS116" s="54"/>
      <c r="AT116" s="73"/>
    </row>
  </sheetData>
  <sheetProtection algorithmName="SHA-512" hashValue="mPk0jHCM0IRSwjKGTkB8XF1Zu75l3IEWjU+dITo52IUHc8hWcyke52o0E8GxphhsLH4voWDvUIiMUdkZ2S3aCQ==" saltValue="Fy38Reck3KYFNXPOfDHo+A==" spinCount="100000" sheet="1" objects="1" scenarios="1" selectLockedCells="1"/>
  <dataConsolidate/>
  <mergeCells count="692">
    <mergeCell ref="C113:F113"/>
    <mergeCell ref="G113:L113"/>
    <mergeCell ref="N114:P115"/>
    <mergeCell ref="Q114:X115"/>
    <mergeCell ref="C115:F115"/>
    <mergeCell ref="G115:L115"/>
    <mergeCell ref="C111:F111"/>
    <mergeCell ref="G111:L111"/>
    <mergeCell ref="N111:P112"/>
    <mergeCell ref="Q111:R112"/>
    <mergeCell ref="T111:V112"/>
    <mergeCell ref="W111:X112"/>
    <mergeCell ref="C109:F109"/>
    <mergeCell ref="G109:L109"/>
    <mergeCell ref="G105:L105"/>
    <mergeCell ref="N105:P106"/>
    <mergeCell ref="Q105:R106"/>
    <mergeCell ref="T105:V106"/>
    <mergeCell ref="W105:X106"/>
    <mergeCell ref="C107:F107"/>
    <mergeCell ref="G107:L107"/>
    <mergeCell ref="G95:H96"/>
    <mergeCell ref="I95:J96"/>
    <mergeCell ref="K95:L96"/>
    <mergeCell ref="N96:X97"/>
    <mergeCell ref="Z96:AS97"/>
    <mergeCell ref="C98:L99"/>
    <mergeCell ref="N99:P100"/>
    <mergeCell ref="Q99:R100"/>
    <mergeCell ref="T99:V100"/>
    <mergeCell ref="W99:X100"/>
    <mergeCell ref="Z99:AS115"/>
    <mergeCell ref="C101:F101"/>
    <mergeCell ref="G101:L101"/>
    <mergeCell ref="N102:P103"/>
    <mergeCell ref="Q102:R103"/>
    <mergeCell ref="T102:V103"/>
    <mergeCell ref="W102:X103"/>
    <mergeCell ref="C103:F103"/>
    <mergeCell ref="G103:L103"/>
    <mergeCell ref="C105:F105"/>
    <mergeCell ref="N108:P109"/>
    <mergeCell ref="Q108:R109"/>
    <mergeCell ref="T108:V109"/>
    <mergeCell ref="W108:X109"/>
    <mergeCell ref="N91:P91"/>
    <mergeCell ref="Q91:S91"/>
    <mergeCell ref="T91:V91"/>
    <mergeCell ref="W91:Y91"/>
    <mergeCell ref="Z91:AS91"/>
    <mergeCell ref="E93:F94"/>
    <mergeCell ref="G93:H94"/>
    <mergeCell ref="I93:J93"/>
    <mergeCell ref="K93:L93"/>
    <mergeCell ref="N93:P93"/>
    <mergeCell ref="Q93:S93"/>
    <mergeCell ref="K92:L92"/>
    <mergeCell ref="N92:P92"/>
    <mergeCell ref="Q92:S92"/>
    <mergeCell ref="T93:V93"/>
    <mergeCell ref="W93:Y93"/>
    <mergeCell ref="Z93:AS93"/>
    <mergeCell ref="I94:J94"/>
    <mergeCell ref="K94:L94"/>
    <mergeCell ref="N94:P94"/>
    <mergeCell ref="Q94:S94"/>
    <mergeCell ref="T94:V94"/>
    <mergeCell ref="W94:Y94"/>
    <mergeCell ref="Z94:AS94"/>
    <mergeCell ref="Q89:S89"/>
    <mergeCell ref="T89:V89"/>
    <mergeCell ref="W89:Y89"/>
    <mergeCell ref="Z89:AS89"/>
    <mergeCell ref="C90:D94"/>
    <mergeCell ref="I90:J90"/>
    <mergeCell ref="K90:L90"/>
    <mergeCell ref="N90:P90"/>
    <mergeCell ref="Q90:S90"/>
    <mergeCell ref="T90:V90"/>
    <mergeCell ref="C86:D89"/>
    <mergeCell ref="E86:F92"/>
    <mergeCell ref="G86:H92"/>
    <mergeCell ref="I89:J89"/>
    <mergeCell ref="K89:L89"/>
    <mergeCell ref="N89:P89"/>
    <mergeCell ref="I92:J92"/>
    <mergeCell ref="T92:V92"/>
    <mergeCell ref="W92:Y92"/>
    <mergeCell ref="Z92:AS92"/>
    <mergeCell ref="W90:Y90"/>
    <mergeCell ref="Z90:AS90"/>
    <mergeCell ref="I91:J91"/>
    <mergeCell ref="K91:L91"/>
    <mergeCell ref="Z87:AS87"/>
    <mergeCell ref="I88:J88"/>
    <mergeCell ref="K88:L88"/>
    <mergeCell ref="N88:P88"/>
    <mergeCell ref="Q88:S88"/>
    <mergeCell ref="T88:V88"/>
    <mergeCell ref="W88:Y88"/>
    <mergeCell ref="Z88:AS88"/>
    <mergeCell ref="Q86:S86"/>
    <mergeCell ref="T86:V86"/>
    <mergeCell ref="W86:Y86"/>
    <mergeCell ref="Z86:AS86"/>
    <mergeCell ref="I87:J87"/>
    <mergeCell ref="K87:L87"/>
    <mergeCell ref="N87:P87"/>
    <mergeCell ref="Q87:S87"/>
    <mergeCell ref="T87:V87"/>
    <mergeCell ref="W87:Y87"/>
    <mergeCell ref="I86:J86"/>
    <mergeCell ref="K86:L86"/>
    <mergeCell ref="N86:P86"/>
    <mergeCell ref="N82:P82"/>
    <mergeCell ref="Q82:S82"/>
    <mergeCell ref="T82:V82"/>
    <mergeCell ref="W82:Y82"/>
    <mergeCell ref="Z82:AS82"/>
    <mergeCell ref="E84:F85"/>
    <mergeCell ref="G84:H85"/>
    <mergeCell ref="I84:J84"/>
    <mergeCell ref="K84:L84"/>
    <mergeCell ref="N84:P84"/>
    <mergeCell ref="Q84:S84"/>
    <mergeCell ref="K83:L83"/>
    <mergeCell ref="N83:P83"/>
    <mergeCell ref="Q83:S83"/>
    <mergeCell ref="T84:V84"/>
    <mergeCell ref="W84:Y84"/>
    <mergeCell ref="Z84:AS84"/>
    <mergeCell ref="I85:J85"/>
    <mergeCell ref="K85:L85"/>
    <mergeCell ref="N85:P85"/>
    <mergeCell ref="Q85:S85"/>
    <mergeCell ref="T85:V85"/>
    <mergeCell ref="W85:Y85"/>
    <mergeCell ref="Z85:AS85"/>
    <mergeCell ref="Q80:S80"/>
    <mergeCell ref="T80:V80"/>
    <mergeCell ref="W80:Y80"/>
    <mergeCell ref="Z80:AS80"/>
    <mergeCell ref="C81:D85"/>
    <mergeCell ref="I81:J81"/>
    <mergeCell ref="K81:L81"/>
    <mergeCell ref="N81:P81"/>
    <mergeCell ref="Q81:S81"/>
    <mergeCell ref="T81:V81"/>
    <mergeCell ref="C77:D80"/>
    <mergeCell ref="E77:F83"/>
    <mergeCell ref="G77:H83"/>
    <mergeCell ref="I80:J80"/>
    <mergeCell ref="K80:L80"/>
    <mergeCell ref="N80:P80"/>
    <mergeCell ref="I83:J83"/>
    <mergeCell ref="T83:V83"/>
    <mergeCell ref="W83:Y83"/>
    <mergeCell ref="Z83:AS83"/>
    <mergeCell ref="W81:Y81"/>
    <mergeCell ref="Z81:AS81"/>
    <mergeCell ref="I82:J82"/>
    <mergeCell ref="K82:L82"/>
    <mergeCell ref="Z78:AS78"/>
    <mergeCell ref="I79:J79"/>
    <mergeCell ref="K79:L79"/>
    <mergeCell ref="N79:P79"/>
    <mergeCell ref="Q79:S79"/>
    <mergeCell ref="T79:V79"/>
    <mergeCell ref="W79:Y79"/>
    <mergeCell ref="Z79:AS79"/>
    <mergeCell ref="Q77:S77"/>
    <mergeCell ref="T77:V77"/>
    <mergeCell ref="W77:Y77"/>
    <mergeCell ref="Z77:AS77"/>
    <mergeCell ref="I78:J78"/>
    <mergeCell ref="K78:L78"/>
    <mergeCell ref="N78:P78"/>
    <mergeCell ref="Q78:S78"/>
    <mergeCell ref="T78:V78"/>
    <mergeCell ref="W78:Y78"/>
    <mergeCell ref="I77:J77"/>
    <mergeCell ref="K77:L77"/>
    <mergeCell ref="N77:P77"/>
    <mergeCell ref="N73:P73"/>
    <mergeCell ref="Q73:S73"/>
    <mergeCell ref="T73:V73"/>
    <mergeCell ref="W73:Y73"/>
    <mergeCell ref="Z73:AS73"/>
    <mergeCell ref="E75:F76"/>
    <mergeCell ref="G75:H76"/>
    <mergeCell ref="I75:J75"/>
    <mergeCell ref="K75:L75"/>
    <mergeCell ref="N75:P75"/>
    <mergeCell ref="Q75:S75"/>
    <mergeCell ref="K74:L74"/>
    <mergeCell ref="N74:P74"/>
    <mergeCell ref="Q74:S74"/>
    <mergeCell ref="T75:V75"/>
    <mergeCell ref="W75:Y75"/>
    <mergeCell ref="Z75:AS75"/>
    <mergeCell ref="I76:J76"/>
    <mergeCell ref="K76:L76"/>
    <mergeCell ref="N76:P76"/>
    <mergeCell ref="Q76:S76"/>
    <mergeCell ref="T76:V76"/>
    <mergeCell ref="W76:Y76"/>
    <mergeCell ref="Z76:AS76"/>
    <mergeCell ref="Q71:S71"/>
    <mergeCell ref="T71:V71"/>
    <mergeCell ref="W71:Y71"/>
    <mergeCell ref="Z71:AS71"/>
    <mergeCell ref="C72:D76"/>
    <mergeCell ref="I72:J72"/>
    <mergeCell ref="K72:L72"/>
    <mergeCell ref="N72:P72"/>
    <mergeCell ref="Q72:S72"/>
    <mergeCell ref="T72:V72"/>
    <mergeCell ref="C68:D71"/>
    <mergeCell ref="E68:F74"/>
    <mergeCell ref="G68:H74"/>
    <mergeCell ref="I71:J71"/>
    <mergeCell ref="K71:L71"/>
    <mergeCell ref="N71:P71"/>
    <mergeCell ref="I74:J74"/>
    <mergeCell ref="T74:V74"/>
    <mergeCell ref="W74:Y74"/>
    <mergeCell ref="Z74:AS74"/>
    <mergeCell ref="W72:Y72"/>
    <mergeCell ref="Z72:AS72"/>
    <mergeCell ref="I73:J73"/>
    <mergeCell ref="K73:L73"/>
    <mergeCell ref="Z69:AS69"/>
    <mergeCell ref="I70:J70"/>
    <mergeCell ref="K70:L70"/>
    <mergeCell ref="N70:P70"/>
    <mergeCell ref="Q70:S70"/>
    <mergeCell ref="T70:V70"/>
    <mergeCell ref="W70:Y70"/>
    <mergeCell ref="Z70:AS70"/>
    <mergeCell ref="Q68:S68"/>
    <mergeCell ref="T68:V68"/>
    <mergeCell ref="W68:Y68"/>
    <mergeCell ref="Z68:AS68"/>
    <mergeCell ref="I69:J69"/>
    <mergeCell ref="K69:L69"/>
    <mergeCell ref="N69:P69"/>
    <mergeCell ref="Q69:S69"/>
    <mergeCell ref="T69:V69"/>
    <mergeCell ref="W69:Y69"/>
    <mergeCell ref="I68:J68"/>
    <mergeCell ref="K68:L68"/>
    <mergeCell ref="N68:P68"/>
    <mergeCell ref="N64:P64"/>
    <mergeCell ref="Q64:S64"/>
    <mergeCell ref="T64:V64"/>
    <mergeCell ref="W64:Y64"/>
    <mergeCell ref="Z64:AS64"/>
    <mergeCell ref="E66:F67"/>
    <mergeCell ref="G66:H67"/>
    <mergeCell ref="I66:J66"/>
    <mergeCell ref="K66:L66"/>
    <mergeCell ref="N66:P66"/>
    <mergeCell ref="Q66:S66"/>
    <mergeCell ref="K65:L65"/>
    <mergeCell ref="N65:P65"/>
    <mergeCell ref="Q65:S65"/>
    <mergeCell ref="T66:V66"/>
    <mergeCell ref="W66:Y66"/>
    <mergeCell ref="Z66:AS66"/>
    <mergeCell ref="I67:J67"/>
    <mergeCell ref="K67:L67"/>
    <mergeCell ref="N67:P67"/>
    <mergeCell ref="Q67:S67"/>
    <mergeCell ref="T67:V67"/>
    <mergeCell ref="W67:Y67"/>
    <mergeCell ref="Z67:AS67"/>
    <mergeCell ref="Q62:S62"/>
    <mergeCell ref="T62:V62"/>
    <mergeCell ref="W62:Y62"/>
    <mergeCell ref="Z62:AS62"/>
    <mergeCell ref="C63:D67"/>
    <mergeCell ref="I63:J63"/>
    <mergeCell ref="K63:L63"/>
    <mergeCell ref="N63:P63"/>
    <mergeCell ref="Q63:S63"/>
    <mergeCell ref="T63:V63"/>
    <mergeCell ref="C59:D62"/>
    <mergeCell ref="E59:F65"/>
    <mergeCell ref="G59:H65"/>
    <mergeCell ref="I62:J62"/>
    <mergeCell ref="K62:L62"/>
    <mergeCell ref="N62:P62"/>
    <mergeCell ref="I65:J65"/>
    <mergeCell ref="T65:V65"/>
    <mergeCell ref="W65:Y65"/>
    <mergeCell ref="Z65:AS65"/>
    <mergeCell ref="W63:Y63"/>
    <mergeCell ref="Z63:AS63"/>
    <mergeCell ref="I64:J64"/>
    <mergeCell ref="K64:L64"/>
    <mergeCell ref="Z60:AS60"/>
    <mergeCell ref="I61:J61"/>
    <mergeCell ref="K61:L61"/>
    <mergeCell ref="N61:P61"/>
    <mergeCell ref="Q61:S61"/>
    <mergeCell ref="T61:V61"/>
    <mergeCell ref="W61:Y61"/>
    <mergeCell ref="Z61:AS61"/>
    <mergeCell ref="Q59:S59"/>
    <mergeCell ref="T59:V59"/>
    <mergeCell ref="W59:Y59"/>
    <mergeCell ref="Z59:AS59"/>
    <mergeCell ref="I60:J60"/>
    <mergeCell ref="K60:L60"/>
    <mergeCell ref="N60:P60"/>
    <mergeCell ref="Q60:S60"/>
    <mergeCell ref="T60:V60"/>
    <mergeCell ref="W60:Y60"/>
    <mergeCell ref="I59:J59"/>
    <mergeCell ref="K59:L59"/>
    <mergeCell ref="N59:P59"/>
    <mergeCell ref="N55:P55"/>
    <mergeCell ref="Q55:S55"/>
    <mergeCell ref="T55:V55"/>
    <mergeCell ref="W55:Y55"/>
    <mergeCell ref="Z55:AS55"/>
    <mergeCell ref="E57:F58"/>
    <mergeCell ref="G57:H58"/>
    <mergeCell ref="I57:J57"/>
    <mergeCell ref="K57:L57"/>
    <mergeCell ref="N57:P57"/>
    <mergeCell ref="Q57:S57"/>
    <mergeCell ref="K56:L56"/>
    <mergeCell ref="N56:P56"/>
    <mergeCell ref="Q56:S56"/>
    <mergeCell ref="T57:V57"/>
    <mergeCell ref="W57:Y57"/>
    <mergeCell ref="Z57:AS57"/>
    <mergeCell ref="I58:J58"/>
    <mergeCell ref="K58:L58"/>
    <mergeCell ref="N58:P58"/>
    <mergeCell ref="Q58:S58"/>
    <mergeCell ref="T58:V58"/>
    <mergeCell ref="W58:Y58"/>
    <mergeCell ref="Z58:AS58"/>
    <mergeCell ref="Q53:S53"/>
    <mergeCell ref="T53:V53"/>
    <mergeCell ref="W53:Y53"/>
    <mergeCell ref="Z53:AS53"/>
    <mergeCell ref="C54:D58"/>
    <mergeCell ref="I54:J54"/>
    <mergeCell ref="K54:L54"/>
    <mergeCell ref="N54:P54"/>
    <mergeCell ref="Q54:S54"/>
    <mergeCell ref="T54:V54"/>
    <mergeCell ref="C50:D53"/>
    <mergeCell ref="E50:F56"/>
    <mergeCell ref="G50:H56"/>
    <mergeCell ref="I53:J53"/>
    <mergeCell ref="K53:L53"/>
    <mergeCell ref="N53:P53"/>
    <mergeCell ref="I56:J56"/>
    <mergeCell ref="T56:V56"/>
    <mergeCell ref="W56:Y56"/>
    <mergeCell ref="Z56:AS56"/>
    <mergeCell ref="W54:Y54"/>
    <mergeCell ref="Z54:AS54"/>
    <mergeCell ref="I55:J55"/>
    <mergeCell ref="K55:L55"/>
    <mergeCell ref="Z51:AS51"/>
    <mergeCell ref="I52:J52"/>
    <mergeCell ref="K52:L52"/>
    <mergeCell ref="N52:P52"/>
    <mergeCell ref="Q52:S52"/>
    <mergeCell ref="T52:V52"/>
    <mergeCell ref="W52:Y52"/>
    <mergeCell ref="Z52:AS52"/>
    <mergeCell ref="Q50:S50"/>
    <mergeCell ref="T50:V50"/>
    <mergeCell ref="W50:Y50"/>
    <mergeCell ref="Z50:AS50"/>
    <mergeCell ref="I51:J51"/>
    <mergeCell ref="K51:L51"/>
    <mergeCell ref="N51:P51"/>
    <mergeCell ref="Q51:S51"/>
    <mergeCell ref="T51:V51"/>
    <mergeCell ref="W51:Y51"/>
    <mergeCell ref="I50:J50"/>
    <mergeCell ref="K50:L50"/>
    <mergeCell ref="N50:P50"/>
    <mergeCell ref="N46:P46"/>
    <mergeCell ref="Q46:S46"/>
    <mergeCell ref="T46:V46"/>
    <mergeCell ref="W46:Y46"/>
    <mergeCell ref="Z46:AS46"/>
    <mergeCell ref="E48:F49"/>
    <mergeCell ref="G48:H49"/>
    <mergeCell ref="I48:J48"/>
    <mergeCell ref="K48:L48"/>
    <mergeCell ref="N48:P48"/>
    <mergeCell ref="Q48:S48"/>
    <mergeCell ref="K47:L47"/>
    <mergeCell ref="N47:P47"/>
    <mergeCell ref="Q47:S47"/>
    <mergeCell ref="T48:V48"/>
    <mergeCell ref="W48:Y48"/>
    <mergeCell ref="Z48:AS48"/>
    <mergeCell ref="I49:J49"/>
    <mergeCell ref="K49:L49"/>
    <mergeCell ref="N49:P49"/>
    <mergeCell ref="Q49:S49"/>
    <mergeCell ref="T49:V49"/>
    <mergeCell ref="W49:Y49"/>
    <mergeCell ref="Z49:AS49"/>
    <mergeCell ref="Q44:S44"/>
    <mergeCell ref="T44:V44"/>
    <mergeCell ref="W44:Y44"/>
    <mergeCell ref="Z44:AS44"/>
    <mergeCell ref="C45:D49"/>
    <mergeCell ref="I45:J45"/>
    <mergeCell ref="K45:L45"/>
    <mergeCell ref="N45:P45"/>
    <mergeCell ref="Q45:S45"/>
    <mergeCell ref="T45:V45"/>
    <mergeCell ref="C41:D44"/>
    <mergeCell ref="E41:F47"/>
    <mergeCell ref="G41:H47"/>
    <mergeCell ref="I44:J44"/>
    <mergeCell ref="K44:L44"/>
    <mergeCell ref="N44:P44"/>
    <mergeCell ref="I47:J47"/>
    <mergeCell ref="T47:V47"/>
    <mergeCell ref="W47:Y47"/>
    <mergeCell ref="Z47:AS47"/>
    <mergeCell ref="W45:Y45"/>
    <mergeCell ref="Z45:AS45"/>
    <mergeCell ref="I46:J46"/>
    <mergeCell ref="K46:L46"/>
    <mergeCell ref="Z42:AS42"/>
    <mergeCell ref="I43:J43"/>
    <mergeCell ref="K43:L43"/>
    <mergeCell ref="N43:P43"/>
    <mergeCell ref="Q43:S43"/>
    <mergeCell ref="T43:V43"/>
    <mergeCell ref="W43:Y43"/>
    <mergeCell ref="Z43:AS43"/>
    <mergeCell ref="Q41:S41"/>
    <mergeCell ref="T41:V41"/>
    <mergeCell ref="W41:Y41"/>
    <mergeCell ref="Z41:AS41"/>
    <mergeCell ref="I42:J42"/>
    <mergeCell ref="K42:L42"/>
    <mergeCell ref="N42:P42"/>
    <mergeCell ref="Q42:S42"/>
    <mergeCell ref="T42:V42"/>
    <mergeCell ref="W42:Y42"/>
    <mergeCell ref="I41:J41"/>
    <mergeCell ref="K41:L41"/>
    <mergeCell ref="N41:P41"/>
    <mergeCell ref="N37:P37"/>
    <mergeCell ref="Q37:S37"/>
    <mergeCell ref="T37:V37"/>
    <mergeCell ref="W37:Y37"/>
    <mergeCell ref="Z37:AS37"/>
    <mergeCell ref="E39:F40"/>
    <mergeCell ref="G39:H40"/>
    <mergeCell ref="I39:J39"/>
    <mergeCell ref="K39:L39"/>
    <mergeCell ref="N39:P39"/>
    <mergeCell ref="Q39:S39"/>
    <mergeCell ref="K38:L38"/>
    <mergeCell ref="N38:P38"/>
    <mergeCell ref="Q38:S38"/>
    <mergeCell ref="T39:V39"/>
    <mergeCell ref="W39:Y39"/>
    <mergeCell ref="Z39:AS39"/>
    <mergeCell ref="I40:J40"/>
    <mergeCell ref="K40:L40"/>
    <mergeCell ref="N40:P40"/>
    <mergeCell ref="Q40:S40"/>
    <mergeCell ref="T40:V40"/>
    <mergeCell ref="W40:Y40"/>
    <mergeCell ref="Z40:AS40"/>
    <mergeCell ref="Q35:S35"/>
    <mergeCell ref="T35:V35"/>
    <mergeCell ref="W35:Y35"/>
    <mergeCell ref="Z35:AS35"/>
    <mergeCell ref="C36:D40"/>
    <mergeCell ref="I36:J36"/>
    <mergeCell ref="K36:L36"/>
    <mergeCell ref="N36:P36"/>
    <mergeCell ref="Q36:S36"/>
    <mergeCell ref="T36:V36"/>
    <mergeCell ref="C32:D35"/>
    <mergeCell ref="E32:F38"/>
    <mergeCell ref="G32:H38"/>
    <mergeCell ref="I35:J35"/>
    <mergeCell ref="K35:L35"/>
    <mergeCell ref="N35:P35"/>
    <mergeCell ref="I38:J38"/>
    <mergeCell ref="T38:V38"/>
    <mergeCell ref="W38:Y38"/>
    <mergeCell ref="Z38:AS38"/>
    <mergeCell ref="W36:Y36"/>
    <mergeCell ref="Z36:AS36"/>
    <mergeCell ref="I37:J37"/>
    <mergeCell ref="K37:L37"/>
    <mergeCell ref="Z33:AS33"/>
    <mergeCell ref="I34:J34"/>
    <mergeCell ref="K34:L34"/>
    <mergeCell ref="N34:P34"/>
    <mergeCell ref="Q34:S34"/>
    <mergeCell ref="T34:V34"/>
    <mergeCell ref="W34:Y34"/>
    <mergeCell ref="Z34:AS34"/>
    <mergeCell ref="Q32:S32"/>
    <mergeCell ref="T32:V32"/>
    <mergeCell ref="W32:Y32"/>
    <mergeCell ref="Z32:AS32"/>
    <mergeCell ref="I33:J33"/>
    <mergeCell ref="K33:L33"/>
    <mergeCell ref="N33:P33"/>
    <mergeCell ref="Q33:S33"/>
    <mergeCell ref="T33:V33"/>
    <mergeCell ref="W33:Y33"/>
    <mergeCell ref="I32:J32"/>
    <mergeCell ref="K32:L32"/>
    <mergeCell ref="N32:P32"/>
    <mergeCell ref="N28:P28"/>
    <mergeCell ref="Q28:S28"/>
    <mergeCell ref="T28:V28"/>
    <mergeCell ref="W28:Y28"/>
    <mergeCell ref="Z28:AS28"/>
    <mergeCell ref="E30:F31"/>
    <mergeCell ref="G30:H31"/>
    <mergeCell ref="I30:J30"/>
    <mergeCell ref="K30:L30"/>
    <mergeCell ref="N30:P30"/>
    <mergeCell ref="Q30:S30"/>
    <mergeCell ref="K29:L29"/>
    <mergeCell ref="N29:P29"/>
    <mergeCell ref="Q29:S29"/>
    <mergeCell ref="T30:V30"/>
    <mergeCell ref="W30:Y30"/>
    <mergeCell ref="Z30:AS30"/>
    <mergeCell ref="I31:J31"/>
    <mergeCell ref="K31:L31"/>
    <mergeCell ref="N31:P31"/>
    <mergeCell ref="Q31:S31"/>
    <mergeCell ref="T31:V31"/>
    <mergeCell ref="W31:Y31"/>
    <mergeCell ref="Z31:AS31"/>
    <mergeCell ref="Q26:S26"/>
    <mergeCell ref="T26:V26"/>
    <mergeCell ref="W26:Y26"/>
    <mergeCell ref="Z26:AS26"/>
    <mergeCell ref="C27:D31"/>
    <mergeCell ref="I27:J27"/>
    <mergeCell ref="K27:L27"/>
    <mergeCell ref="N27:P27"/>
    <mergeCell ref="Q27:S27"/>
    <mergeCell ref="T27:V27"/>
    <mergeCell ref="C23:D26"/>
    <mergeCell ref="E23:F29"/>
    <mergeCell ref="G23:H29"/>
    <mergeCell ref="I26:J26"/>
    <mergeCell ref="K26:L26"/>
    <mergeCell ref="N26:P26"/>
    <mergeCell ref="I29:J29"/>
    <mergeCell ref="T29:V29"/>
    <mergeCell ref="W29:Y29"/>
    <mergeCell ref="Z29:AS29"/>
    <mergeCell ref="W27:Y27"/>
    <mergeCell ref="Z27:AS27"/>
    <mergeCell ref="I28:J28"/>
    <mergeCell ref="K28:L28"/>
    <mergeCell ref="Z24:AS24"/>
    <mergeCell ref="I25:J25"/>
    <mergeCell ref="K25:L25"/>
    <mergeCell ref="N25:P25"/>
    <mergeCell ref="Q25:S25"/>
    <mergeCell ref="T25:V25"/>
    <mergeCell ref="W25:Y25"/>
    <mergeCell ref="Z25:AS25"/>
    <mergeCell ref="Q23:S23"/>
    <mergeCell ref="T23:V23"/>
    <mergeCell ref="W23:Y23"/>
    <mergeCell ref="Z23:AS23"/>
    <mergeCell ref="I24:J24"/>
    <mergeCell ref="K24:L24"/>
    <mergeCell ref="N24:P24"/>
    <mergeCell ref="Q24:S24"/>
    <mergeCell ref="T24:V24"/>
    <mergeCell ref="W24:Y24"/>
    <mergeCell ref="I23:J23"/>
    <mergeCell ref="K23:L23"/>
    <mergeCell ref="N23:P23"/>
    <mergeCell ref="T21:V21"/>
    <mergeCell ref="W21:Y21"/>
    <mergeCell ref="Z21:AS21"/>
    <mergeCell ref="I22:J22"/>
    <mergeCell ref="K22:L22"/>
    <mergeCell ref="N22:P22"/>
    <mergeCell ref="Q22:S22"/>
    <mergeCell ref="T22:V22"/>
    <mergeCell ref="W22:Y22"/>
    <mergeCell ref="Z22:AS22"/>
    <mergeCell ref="T18:V18"/>
    <mergeCell ref="I20:J20"/>
    <mergeCell ref="K20:L20"/>
    <mergeCell ref="N20:P20"/>
    <mergeCell ref="Q20:S20"/>
    <mergeCell ref="W18:Y18"/>
    <mergeCell ref="Z18:AS18"/>
    <mergeCell ref="I19:J19"/>
    <mergeCell ref="K19:L19"/>
    <mergeCell ref="N19:P19"/>
    <mergeCell ref="Q19:S19"/>
    <mergeCell ref="T19:V19"/>
    <mergeCell ref="W19:Y19"/>
    <mergeCell ref="Z19:AS19"/>
    <mergeCell ref="T20:V20"/>
    <mergeCell ref="W20:Y20"/>
    <mergeCell ref="Z20:AS20"/>
    <mergeCell ref="Z16:AS16"/>
    <mergeCell ref="I17:J17"/>
    <mergeCell ref="K17:L17"/>
    <mergeCell ref="N17:P17"/>
    <mergeCell ref="Q17:S17"/>
    <mergeCell ref="T17:V17"/>
    <mergeCell ref="W17:Y17"/>
    <mergeCell ref="Z17:AS17"/>
    <mergeCell ref="I16:J16"/>
    <mergeCell ref="K16:L16"/>
    <mergeCell ref="N16:P16"/>
    <mergeCell ref="Q16:S16"/>
    <mergeCell ref="T16:V16"/>
    <mergeCell ref="W16:Y16"/>
    <mergeCell ref="T14:V14"/>
    <mergeCell ref="W14:Y14"/>
    <mergeCell ref="Z14:AS14"/>
    <mergeCell ref="I15:J15"/>
    <mergeCell ref="K15:L15"/>
    <mergeCell ref="N15:P15"/>
    <mergeCell ref="Q15:S15"/>
    <mergeCell ref="T15:V15"/>
    <mergeCell ref="W15:Y15"/>
    <mergeCell ref="Z15:AS15"/>
    <mergeCell ref="C14:D17"/>
    <mergeCell ref="E14:F20"/>
    <mergeCell ref="G14:H20"/>
    <mergeCell ref="I14:J14"/>
    <mergeCell ref="K14:L14"/>
    <mergeCell ref="N14:P14"/>
    <mergeCell ref="Q14:S14"/>
    <mergeCell ref="K8:L13"/>
    <mergeCell ref="M8:M13"/>
    <mergeCell ref="N8:P13"/>
    <mergeCell ref="Q8:S13"/>
    <mergeCell ref="C18:D22"/>
    <mergeCell ref="I18:J18"/>
    <mergeCell ref="K18:L18"/>
    <mergeCell ref="N18:P18"/>
    <mergeCell ref="Q18:S18"/>
    <mergeCell ref="E21:F22"/>
    <mergeCell ref="G21:H22"/>
    <mergeCell ref="I21:J21"/>
    <mergeCell ref="K21:L21"/>
    <mergeCell ref="N21:P21"/>
    <mergeCell ref="Q21:S21"/>
    <mergeCell ref="C7:D13"/>
    <mergeCell ref="E7:F11"/>
    <mergeCell ref="G7:H11"/>
    <mergeCell ref="I7:M7"/>
    <mergeCell ref="N7:AS7"/>
    <mergeCell ref="I8:J13"/>
    <mergeCell ref="Z8:AS13"/>
    <mergeCell ref="E12:F13"/>
    <mergeCell ref="G12:H13"/>
    <mergeCell ref="T8:V13"/>
    <mergeCell ref="W8:Y13"/>
    <mergeCell ref="P2:Y2"/>
    <mergeCell ref="Z2:AG3"/>
    <mergeCell ref="AH2:AT3"/>
    <mergeCell ref="Q3:Q4"/>
    <mergeCell ref="R3:R4"/>
    <mergeCell ref="S3:S4"/>
    <mergeCell ref="Z4:AG4"/>
    <mergeCell ref="E5:I5"/>
    <mergeCell ref="Z5:AG5"/>
    <mergeCell ref="AI5:AK5"/>
    <mergeCell ref="AL5:AM5"/>
  </mergeCells>
  <dataValidations count="6">
    <dataValidation type="list" allowBlank="1" showInputMessage="1" showErrorMessage="1" sqref="N14:P94" xr:uid="{50B72D66-9718-4250-B4C6-D90C3E319805}">
      <formula1>INDIRECT($Z$2 &amp; "working_stations")</formula1>
    </dataValidation>
    <dataValidation type="list" allowBlank="1" showInputMessage="1" showErrorMessage="1" sqref="T60:V67 T33:V57 T69:V94 T14:V31" xr:uid="{DB309B18-3D28-4253-9A72-55FF1E10338A}">
      <formula1>breakdown_dropdown</formula1>
    </dataValidation>
    <dataValidation type="list" allowBlank="1" showInputMessage="1" showErrorMessage="1" sqref="G101:L101 G103:L103 G105:L105 G107:L107 G109:L109 G111:L111 G113:L113 G115:L115" xr:uid="{6DBB4A9A-C32D-4C14-81ED-226810D0B241}">
      <formula1>INDIRECT($Z$4)</formula1>
    </dataValidation>
    <dataValidation type="date" operator="greaterThanOrEqual" allowBlank="1" showInputMessage="1" showErrorMessage="1" error="Introduzir Data_x000a_Exemplo: 01/01/2013" prompt="Introduzir data de Produção_x000a_Exemplo: 01/01/2013" sqref="E5" xr:uid="{17B02965-B106-4E42-A08C-4DC49A8DF14A}">
      <formula1>41275</formula1>
    </dataValidation>
    <dataValidation type="decimal" operator="greaterThanOrEqual" allowBlank="1" showInputMessage="1" showErrorMessage="1" error="Introduzir Quantidade de Peças Produzidas_x000a_Exemplo: 120" prompt="Introduzir Quantidade de peças produzidas em cada hora._x000a__x000a_" sqref="G14 G23 G68:G70 G41 G86:G89 G59:G63 G50:G52 G32:G35 G77:G79" xr:uid="{66B0FBE4-F62C-455A-9CEB-9109F0D206D3}">
      <formula1>0</formula1>
    </dataValidation>
    <dataValidation type="list" allowBlank="1" showInputMessage="1" showErrorMessage="1" sqref="Q14:S94 W14:Y94" xr:uid="{A6E35A5E-8035-4A18-854F-D56B4748DFC1}">
      <formula1>INDIRECT(N14)</formula1>
    </dataValidation>
  </dataValidations>
  <pageMargins left="0.7" right="0.7" top="0.75" bottom="0.75" header="0.3" footer="0.3"/>
  <pageSetup scale="53"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AC2986-8CE5-49A7-B9C3-109EFB28278D}">
  <ds:schemaRefs>
    <ds:schemaRef ds:uri="http://schemas.microsoft.com/DataMashup"/>
  </ds:schemaRefs>
</ds:datastoreItem>
</file>

<file path=docMetadata/LabelInfo.xml><?xml version="1.0" encoding="utf-8"?>
<clbl:labelList xmlns:clbl="http://schemas.microsoft.com/office/2020/mipLabelMetadata">
  <clbl:label id="{ded034ca-24b7-43db-aeb7-3325b59f2302}" enabled="1" method="Standard" siteId="{bb2da9be-ab20-443b-a93e-baf7506f7433}" contentBits="2"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Worksheets</vt:lpstr>
      </vt:variant>
      <vt:variant>
        <vt:i4>10</vt:i4>
      </vt:variant>
      <vt:variant>
        <vt:lpstr>Named Ranges</vt:lpstr>
      </vt:variant>
      <vt:variant>
        <vt:i4>97</vt:i4>
      </vt:variant>
    </vt:vector>
  </HeadingPairs>
  <TitlesOfParts>
    <vt:vector size="107" baseType="lpstr">
      <vt:lpstr>Block Screen</vt:lpstr>
      <vt:lpstr>Add Report</vt:lpstr>
      <vt:lpstr>Ship 1</vt:lpstr>
      <vt:lpstr>Ship 2</vt:lpstr>
      <vt:lpstr>Ship 3</vt:lpstr>
      <vt:lpstr>Correlations Tables</vt:lpstr>
      <vt:lpstr>Report Data</vt:lpstr>
      <vt:lpstr>Report Layout 1 (WEL)</vt:lpstr>
      <vt:lpstr>Dataset</vt:lpstr>
      <vt:lpstr>CTRL MERCEDEZ GLE 580 REAR BUMP</vt:lpstr>
      <vt:lpstr>as</vt:lpstr>
      <vt:lpstr>bmw_m550i_xdrive_rear_bumper_line_3_b_cycle_time</vt:lpstr>
      <vt:lpstr>'CTRL MERCEDEZ GLE 580 REAR BUMP'!breakdown_dropdown</vt:lpstr>
      <vt:lpstr>breakdown_dropdown</vt:lpstr>
      <vt:lpstr>'Ship 3'!codigos_falha</vt:lpstr>
      <vt:lpstr>'CTRL MERCEDEZ GLE 580 REAR BUMP'!cycle_time_welding</vt:lpstr>
      <vt:lpstr>cycle_time_welding</vt:lpstr>
      <vt:lpstr>'CTRL MERCEDEZ GLE 580 REAR BUMP'!efficiency</vt:lpstr>
      <vt:lpstr>efficiency</vt:lpstr>
      <vt:lpstr>'Ship 3'!Handling_FB_L3</vt:lpstr>
      <vt:lpstr>'Ship 3'!Handling_RB_L1</vt:lpstr>
      <vt:lpstr>'Ship 3'!Handling_RB_L3</vt:lpstr>
      <vt:lpstr>mercedez_gle_53_rear_bumper_line_1_a_cycle_time</vt:lpstr>
      <vt:lpstr>mercedez_gle_580_rear_bumper_line_1_a_cycle_time</vt:lpstr>
      <vt:lpstr>mercedez_gle_580_rear_bumper_line_1_cycle_time</vt:lpstr>
      <vt:lpstr>'CTRL MERCEDEZ GLE 580 REAR BUMP'!nok_parts</vt:lpstr>
      <vt:lpstr>nok_parts</vt:lpstr>
      <vt:lpstr>'CTRL MERCEDEZ GLE 580 REAR BUMP'!nome_kpis_sol1</vt:lpstr>
      <vt:lpstr>nome_kpis_sol1</vt:lpstr>
      <vt:lpstr>'CTRL MERCEDEZ GLE 580 REAR BUMP'!number_workers</vt:lpstr>
      <vt:lpstr>number_workers</vt:lpstr>
      <vt:lpstr>'Ship 3'!OP_10_428_L1</vt:lpstr>
      <vt:lpstr>'Ship 3'!OP_10_FB_L3</vt:lpstr>
      <vt:lpstr>'Ship 3'!OP_10_IP_L1</vt:lpstr>
      <vt:lpstr>'Ship 3'!OP_10_PB_L1</vt:lpstr>
      <vt:lpstr>'Ship 3'!OP_10_RB_L1</vt:lpstr>
      <vt:lpstr>'Ship 3'!OP_10_RB_L3</vt:lpstr>
      <vt:lpstr>'Ship 3'!OP_100_IP_L2</vt:lpstr>
      <vt:lpstr>'Ship 3'!OP_11_PB_L1</vt:lpstr>
      <vt:lpstr>'Ship 3'!OP_110_135_140_IP_L2</vt:lpstr>
      <vt:lpstr>'Ship 3'!OP_110_IP_L2</vt:lpstr>
      <vt:lpstr>'Ship 3'!OP_110_PB_L2</vt:lpstr>
      <vt:lpstr>'Ship 3'!OP_120_PB_L2</vt:lpstr>
      <vt:lpstr>'Ship 3'!OP_135_IP_L2</vt:lpstr>
      <vt:lpstr>'Ship 3'!OP_145_IP_L2</vt:lpstr>
      <vt:lpstr>'Ship 3'!OP_15_428_L1</vt:lpstr>
      <vt:lpstr>'Ship 3'!OP_150_155_IP_L2</vt:lpstr>
      <vt:lpstr>'Ship 3'!OP_150_PB_L2</vt:lpstr>
      <vt:lpstr>'Ship 3'!OP_160_165_IP_L2</vt:lpstr>
      <vt:lpstr>'Ship 3'!OP_20_428_L1</vt:lpstr>
      <vt:lpstr>'Ship 3'!OP_20_FB_L1</vt:lpstr>
      <vt:lpstr>'Ship 3'!OP_20_FB_L2</vt:lpstr>
      <vt:lpstr>'Ship 3'!OP_20_IP_L1</vt:lpstr>
      <vt:lpstr>'Ship 3'!OP_200_IP_L2</vt:lpstr>
      <vt:lpstr>'Ship 3'!OP_25_IP_L1</vt:lpstr>
      <vt:lpstr>'Ship 3'!OP_30_40_FB_L1</vt:lpstr>
      <vt:lpstr>'Ship 3'!OP_30_40_FB_L2</vt:lpstr>
      <vt:lpstr>'Ship 3'!OP_30_FB_L1</vt:lpstr>
      <vt:lpstr>'Ship 3'!OP_30_FB_L2</vt:lpstr>
      <vt:lpstr>'Ship 3'!OP_30_IP_L1</vt:lpstr>
      <vt:lpstr>'Ship 3'!OP_30_PB_L1</vt:lpstr>
      <vt:lpstr>'Ship 3'!OP_31_PB_L1</vt:lpstr>
      <vt:lpstr>'Ship 3'!OP_40_FB_L1</vt:lpstr>
      <vt:lpstr>'Ship 3'!OP_40_FB_L2</vt:lpstr>
      <vt:lpstr>'Ship 3'!OP_40_IP_L1</vt:lpstr>
      <vt:lpstr>'Ship 3'!OP_40_RB_L1</vt:lpstr>
      <vt:lpstr>'Ship 3'!OP_50_IP_L1</vt:lpstr>
      <vt:lpstr>'Ship 3'!OP_50_PB_L1</vt:lpstr>
      <vt:lpstr>'Ship 3'!OP_51_PB_L1</vt:lpstr>
      <vt:lpstr>'Ship 3'!OP_55_IP_L2</vt:lpstr>
      <vt:lpstr>'Ship 3'!OP_60_IP_L1</vt:lpstr>
      <vt:lpstr>'Ship 3'!OP_70_FB_L1</vt:lpstr>
      <vt:lpstr>'Ship 3'!OP_70_FB_L2</vt:lpstr>
      <vt:lpstr>'Ship 3'!OP40_RB_L1</vt:lpstr>
      <vt:lpstr>'CTRL MERCEDEZ GLE 580 REAR BUMP'!planned_downtime</vt:lpstr>
      <vt:lpstr>planned_downtime</vt:lpstr>
      <vt:lpstr>'Ship 3'!Prensas_428_L1</vt:lpstr>
      <vt:lpstr>'CTRL MERCEDEZ GLE 580 REAR BUMP'!Print_Area</vt:lpstr>
      <vt:lpstr>'Report Layout 1 (WEL)'!Print_Area</vt:lpstr>
      <vt:lpstr>'Ship 3'!Retrabalho_FB_L1</vt:lpstr>
      <vt:lpstr>'Ship 3'!Retrabalho_FB_L2</vt:lpstr>
      <vt:lpstr>'Ship 3'!Retrabalho_FB_L3</vt:lpstr>
      <vt:lpstr>'Ship 3'!Retrabalho_IP_L2</vt:lpstr>
      <vt:lpstr>'Ship 3'!Retrabalho_RB_L3</vt:lpstr>
      <vt:lpstr>'CTRL MERCEDEZ GLE 580 REAR BUMP'!reworked_parts</vt:lpstr>
      <vt:lpstr>reworked_parts</vt:lpstr>
      <vt:lpstr>'Ship 3'!RH</vt:lpstr>
      <vt:lpstr>'Ship 3'!Sem_Producao</vt:lpstr>
      <vt:lpstr>'CTRL MERCEDEZ GLE 580 REAR BUMP'!shift_a</vt:lpstr>
      <vt:lpstr>shift_a</vt:lpstr>
      <vt:lpstr>shift_b</vt:lpstr>
      <vt:lpstr>shift_c</vt:lpstr>
      <vt:lpstr>shift_d</vt:lpstr>
      <vt:lpstr>'Ship 3'!Soldadura_Resistencia</vt:lpstr>
      <vt:lpstr>Team1</vt:lpstr>
      <vt:lpstr>Team2</vt:lpstr>
      <vt:lpstr>'CTRL MERCEDEZ GLE 580 REAR BUMP'!testing_chart</vt:lpstr>
      <vt:lpstr>testing_chart</vt:lpstr>
      <vt:lpstr>'CTRL MERCEDEZ GLE 580 REAR BUMP'!testing_list</vt:lpstr>
      <vt:lpstr>testing_list</vt:lpstr>
      <vt:lpstr>'CTRL MERCEDEZ GLE 580 REAR BUMP'!total_produced</vt:lpstr>
      <vt:lpstr>total_produced</vt:lpstr>
      <vt:lpstr>'CTRL MERCEDEZ GLE 580 REAR BUMP'!total_produzido</vt:lpstr>
      <vt:lpstr>total_produzido</vt:lpstr>
      <vt:lpstr>'Ship 3'!TPM</vt:lpstr>
      <vt:lpstr>'CTRL MERCEDEZ GLE 580 REAR BUMP'!unplanned_downtime</vt:lpstr>
      <vt:lpstr>unplanned_downtime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 Cysne (External)</dc:creator>
  <cp:lastModifiedBy>Eduardo De Jesus Moreira Cysne</cp:lastModifiedBy>
  <cp:lastPrinted>2026-03-30T21:19:16Z</cp:lastPrinted>
  <dcterms:created xsi:type="dcterms:W3CDTF">2026-01-12T08:11:49Z</dcterms:created>
  <dcterms:modified xsi:type="dcterms:W3CDTF">2026-04-12T19:22:52Z</dcterms:modified>
</cp:coreProperties>
</file>